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ml.chartshape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ml.chartshape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ml.chartshape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rta\Desktop\вузик\fashion_site\"/>
    </mc:Choice>
  </mc:AlternateContent>
  <bookViews>
    <workbookView xWindow="-96" yWindow="-96" windowWidth="21792" windowHeight="12972" activeTab="1"/>
  </bookViews>
  <sheets>
    <sheet name="Общая информация" sheetId="1" r:id="rId1"/>
    <sheet name="План работы" sheetId="2" r:id="rId2"/>
    <sheet name="Проект" sheetId="3" r:id="rId3"/>
    <sheet name="БРПО" sheetId="12" r:id="rId4"/>
    <sheet name="Данные" sheetId="9" r:id="rId5"/>
    <sheet name="Панель управления (Dashboard)" sheetId="10" r:id="rId6"/>
    <sheet name="Глоссарий (2)" sheetId="13" r:id="rId7"/>
    <sheet name="_helper_dashboard" sheetId="7" state="hidden" r:id="rId8"/>
  </sheets>
  <externalReferences>
    <externalReference r:id="rId9"/>
  </externalReferences>
  <calcPr calcId="152511"/>
</workbook>
</file>

<file path=xl/calcChain.xml><?xml version="1.0" encoding="utf-8"?>
<calcChain xmlns="http://schemas.openxmlformats.org/spreadsheetml/2006/main">
  <c r="C14" i="13" l="1"/>
  <c r="C13" i="13"/>
  <c r="C12" i="13"/>
  <c r="C11" i="13"/>
  <c r="C10" i="13"/>
  <c r="C9" i="13"/>
  <c r="C8" i="13"/>
  <c r="C7" i="13"/>
  <c r="C6" i="13"/>
  <c r="C5" i="13"/>
  <c r="C4" i="13"/>
  <c r="C3" i="13"/>
  <c r="E3" i="10"/>
  <c r="B5" i="3" l="1"/>
  <c r="J56" i="9" l="1"/>
  <c r="H56" i="9"/>
  <c r="F56" i="9"/>
  <c r="D56" i="9"/>
  <c r="J55" i="9"/>
  <c r="H55" i="9"/>
  <c r="F55" i="9"/>
  <c r="D55" i="9"/>
  <c r="J44" i="9"/>
  <c r="H44" i="9"/>
  <c r="F44" i="9"/>
  <c r="D44" i="9"/>
  <c r="J43" i="9"/>
  <c r="H43" i="9"/>
  <c r="F43" i="9"/>
  <c r="D43" i="9"/>
  <c r="J32" i="9"/>
  <c r="H32" i="9"/>
  <c r="F32" i="9"/>
  <c r="D32" i="9"/>
  <c r="J31" i="9"/>
  <c r="H31" i="9"/>
  <c r="F31" i="9"/>
  <c r="D31" i="9"/>
  <c r="J20" i="9"/>
  <c r="H20" i="9"/>
  <c r="F20" i="9"/>
  <c r="D20" i="9"/>
  <c r="D23" i="9" s="1"/>
  <c r="J19" i="9"/>
  <c r="H19" i="9"/>
  <c r="F19" i="9"/>
  <c r="D19" i="9"/>
  <c r="T12" i="9"/>
  <c r="S12" i="9"/>
  <c r="T11" i="9"/>
  <c r="S11" i="9"/>
  <c r="T10" i="9"/>
  <c r="S10" i="9"/>
  <c r="T9" i="9"/>
  <c r="S9" i="9"/>
  <c r="T8" i="9"/>
  <c r="S8" i="9"/>
  <c r="J8" i="9"/>
  <c r="H8" i="9"/>
  <c r="F8" i="9"/>
  <c r="D8" i="9"/>
  <c r="AI7" i="9"/>
  <c r="AH7" i="9"/>
  <c r="AE7" i="9"/>
  <c r="AD7" i="9"/>
  <c r="AA7" i="9"/>
  <c r="Z7" i="9"/>
  <c r="X7" i="9"/>
  <c r="W7" i="9"/>
  <c r="U7" i="9"/>
  <c r="T7" i="9"/>
  <c r="J7" i="9"/>
  <c r="H7" i="9"/>
  <c r="F7" i="9"/>
  <c r="D7" i="9"/>
  <c r="W4" i="9"/>
  <c r="V4" i="9"/>
  <c r="U4" i="9"/>
  <c r="T4" i="9"/>
  <c r="W3" i="9"/>
  <c r="V3" i="9"/>
  <c r="U3" i="9"/>
  <c r="T3" i="9"/>
  <c r="T6" i="9" s="1"/>
  <c r="W2" i="9"/>
  <c r="V2" i="9"/>
  <c r="U2" i="9"/>
  <c r="T2" i="9"/>
  <c r="AJ1" i="9"/>
  <c r="AK6" i="9"/>
  <c r="J59" i="9" l="1"/>
  <c r="J47" i="9"/>
  <c r="J35" i="9"/>
  <c r="J23" i="9"/>
  <c r="J11" i="9"/>
  <c r="U8" i="9" s="1"/>
  <c r="H47" i="9"/>
  <c r="H23" i="9"/>
  <c r="H11" i="9"/>
  <c r="H59" i="9"/>
  <c r="H35" i="9"/>
  <c r="V6" i="9"/>
  <c r="D35" i="9"/>
  <c r="D59" i="9"/>
  <c r="D11" i="9"/>
  <c r="F59" i="9"/>
  <c r="V5" i="9"/>
  <c r="AK2" i="9"/>
  <c r="F35" i="9"/>
  <c r="W5" i="9"/>
  <c r="D47" i="9"/>
  <c r="F47" i="9"/>
  <c r="F23" i="9"/>
  <c r="U6" i="9"/>
  <c r="AK5" i="9"/>
  <c r="F11" i="9"/>
  <c r="U5" i="9"/>
  <c r="AK3" i="9"/>
  <c r="W6" i="9"/>
  <c r="AK1" i="9"/>
  <c r="T5" i="9"/>
  <c r="AE8" i="9" l="1"/>
  <c r="AE9" i="9" s="1"/>
  <c r="AL3" i="9"/>
  <c r="AL1" i="9"/>
  <c r="X8" i="9"/>
  <c r="X9" i="9" s="1"/>
  <c r="AI8" i="9"/>
  <c r="AI9" i="9" s="1"/>
  <c r="AA8" i="9"/>
  <c r="AA9" i="9" s="1"/>
  <c r="AL5" i="9"/>
  <c r="AL4" i="9"/>
  <c r="AL2" i="9"/>
  <c r="U9" i="9"/>
  <c r="AJ2" i="9" l="1"/>
  <c r="AK4" i="9" s="1"/>
</calcChain>
</file>

<file path=xl/sharedStrings.xml><?xml version="1.0" encoding="utf-8"?>
<sst xmlns="http://schemas.openxmlformats.org/spreadsheetml/2006/main" count="713" uniqueCount="468">
  <si>
    <t>Рабочая тетрадь для выполнения практических заданий</t>
  </si>
  <si>
    <t>Роли в команде</t>
  </si>
  <si>
    <t>Информация о команде</t>
  </si>
  <si>
    <t>Лидер команды +  backend-разработчик</t>
  </si>
  <si>
    <t>Крипак Ксения</t>
  </si>
  <si>
    <t>Общее количество участников</t>
  </si>
  <si>
    <t>Марущак Анастасия</t>
  </si>
  <si>
    <t>Фактическая дата начала работы команды</t>
  </si>
  <si>
    <t>Frontend-разработчик</t>
  </si>
  <si>
    <t>Кузнецов Никита</t>
  </si>
  <si>
    <t>Планируемая дата завершения работы</t>
  </si>
  <si>
    <t>Технический писатель</t>
  </si>
  <si>
    <t>Усанов Владислав</t>
  </si>
  <si>
    <t>Фактическая дата завершения работы</t>
  </si>
  <si>
    <t>Бизнес-аналитик</t>
  </si>
  <si>
    <t>Пащенко Анастасия</t>
  </si>
  <si>
    <t>Диаграмма Ганта</t>
  </si>
  <si>
    <t>Ответственный</t>
  </si>
  <si>
    <t>Работа над формированием команды</t>
  </si>
  <si>
    <t>Распределение обязанностей внутри команды</t>
  </si>
  <si>
    <t>Разработка устава команды</t>
  </si>
  <si>
    <t>Работа над макетом сайта</t>
  </si>
  <si>
    <t>Работа над серверной частью сайта</t>
  </si>
  <si>
    <t>Работа над клиентской частью сайта и его вёрстка</t>
  </si>
  <si>
    <t xml:space="preserve">Документальное сопровождение </t>
  </si>
  <si>
    <t>Составление глоссария</t>
  </si>
  <si>
    <t>Работа над презентациями</t>
  </si>
  <si>
    <t>Сбор и обновление метрик вкладки "Данные"</t>
  </si>
  <si>
    <t>Заполнение метрик вкладки "Данные"</t>
  </si>
  <si>
    <t>Работа над панелью управления</t>
  </si>
  <si>
    <t>Составление диаграммы Ганта</t>
  </si>
  <si>
    <t>Заполнение диаграммы Ганта</t>
  </si>
  <si>
    <t>Тестирование продукта</t>
  </si>
  <si>
    <t>Команда</t>
  </si>
  <si>
    <t>Представление готового продукта</t>
  </si>
  <si>
    <t>Неделя 1</t>
  </si>
  <si>
    <t>Неделя 2</t>
  </si>
  <si>
    <t>Неделя 3</t>
  </si>
  <si>
    <t>Неделя 4</t>
  </si>
  <si>
    <t>количество задач план</t>
  </si>
  <si>
    <t>количество задач факт</t>
  </si>
  <si>
    <t>количество задач выполненных вовремя</t>
  </si>
  <si>
    <t>% выполнения задач</t>
  </si>
  <si>
    <t>% соблюдения сроков</t>
  </si>
  <si>
    <t>качество выполненных задач (1-5)</t>
  </si>
  <si>
    <t>обратная связь (1/5)</t>
  </si>
  <si>
    <t>участие в работе команды (%)</t>
  </si>
  <si>
    <t>Глоссарий</t>
  </si>
  <si>
    <t>Термин</t>
  </si>
  <si>
    <t>Определение</t>
  </si>
  <si>
    <t>Источник</t>
  </si>
  <si>
    <t>Концепция 4«П»</t>
  </si>
  <si>
    <t>Подход к разработке ПО: Процесс, Продукт, Проект, Персонал.</t>
  </si>
  <si>
    <t>Жизненный цикл проекта</t>
  </si>
  <si>
    <t>Совокупность стадий от начала работы команды до завершения проекта.</t>
  </si>
  <si>
    <t>Модель Белбина</t>
  </si>
  <si>
    <t>Метод распределения ролей в команде (координатор, исполнитель, генератор идей и др.).</t>
  </si>
  <si>
    <t>Модель RACI</t>
  </si>
  <si>
    <t>KPI</t>
  </si>
  <si>
    <t>КПИ (KPI, Key Performance Indicator) — это ключевой показатель эффективности: числовой индикатор, который показывает, насколько вы приближаетесь к цели за заданный период.</t>
  </si>
  <si>
    <t>Группа специалистов с взаимодополняющими навыками, совместно отвечающих за цели проекта/продукта; роли и ответственность распределены.</t>
  </si>
  <si>
    <t>Метрики</t>
  </si>
  <si>
    <t>Количественные показатели для измерения свойств процесса/продукта/проекта и поддержки принятия решений.</t>
  </si>
  <si>
    <t>Мониторинг</t>
  </si>
  <si>
    <t>Систематическое отслеживание хода работ: сравнение факта с планом и инициирование корректирующих действий.</t>
  </si>
  <si>
    <t>Групповая динамика</t>
  </si>
  <si>
    <t>Процессы и изменения внутри группы, влияющие на коммуникацию, нормы, роли, конфликты и решения.</t>
  </si>
  <si>
    <t>Коммуникации</t>
  </si>
  <si>
    <t>Планомерный обмен информацией между участниками и стейкхолдерами (каналы, частота, форматы, ответственность) для устойчивого общего понимания.</t>
  </si>
  <si>
    <t>Профессиональная практика</t>
  </si>
  <si>
    <t>Этические, правовые, организационные, экономические и управленческие аспекты профессии ПО (ответственность, стандарты, коммуникация, управление проектами).</t>
  </si>
  <si>
    <t>Программная инженерия</t>
  </si>
  <si>
    <t>Систематическая, дисциплинированная и измеримая разработка, эксплуатация и сопровождение ПО.</t>
  </si>
  <si>
    <t>План</t>
  </si>
  <si>
    <t>Факт</t>
  </si>
  <si>
    <t>Вовремя</t>
  </si>
  <si>
    <t>Участник \ Неделя</t>
  </si>
  <si>
    <t>KPI участника (средний %)</t>
  </si>
  <si>
    <t>MONTHLY STATUS DASHBOARD</t>
  </si>
  <si>
    <t>Начало периода:</t>
  </si>
  <si>
    <t xml:space="preserve"> Окончание периода:</t>
  </si>
  <si>
    <t>Дизайнер + project manager</t>
  </si>
  <si>
    <t>Макет проекта:</t>
  </si>
  <si>
    <t xml:space="preserve">Наименование: ООО «Лаборатория Касперского» (Kaspersky)                                                                                        
Основные виды деятельности:                                      
Разработка антивирусных и антималварных решений                                        
Безопасность информационных систем                                        
Консалтинг по информационной безопасности                                        
Разработка решений для промышленной, корпоративной и частной безопасности                                        
Исследовательская деятельность в области кибербезопасности  </t>
  </si>
  <si>
    <t>Паспорт проекта: Kaspersky Endpoint Security (KES)</t>
  </si>
  <si>
    <t>Раздел</t>
  </si>
  <si>
    <t>Содержание</t>
  </si>
  <si>
    <t>Источники</t>
  </si>
  <si>
    <t>Цели и задачи</t>
  </si>
  <si>
    <t>• Комплексная защита корпоративных систем от вирусов, вредоносного ПО и сетевых атак (рабочие станции, серверы, мобильные устройства, шлюзы).
 • Централизованное управление безопасностью (единая консоль, распределённые политики).
 • Повышение киберустойчивости за счёт снижения инцидентов и уязвимостей.
 Примечание: «многоуровневая адаптивная защита с централизованным управлением».</t>
  </si>
  <si>
    <r>
      <t xml:space="preserve">URL: </t>
    </r>
    <r>
      <rPr>
        <u/>
        <sz val="10"/>
        <color rgb="FF1155CC"/>
        <rFont val="Arial"/>
      </rPr>
      <t>https://www.kaspersky.com/small-to-medium-business-security/endpoint-advanced</t>
    </r>
    <r>
      <rPr>
        <sz val="10"/>
        <color rgb="FF000000"/>
        <rFont val="Arial"/>
        <scheme val="minor"/>
      </rPr>
      <t xml:space="preserve"> </t>
    </r>
  </si>
  <si>
    <t>Риски</t>
  </si>
  <si>
    <t>1) Недостаточная коммуникация между разработкой и безопасностью → разрыв требований, пробелы в защите.
 2) Спешка релизов без полного учёта требований ИБ в Agile/CI-CD → рост ошибок/уязвимостей.
 3) Недостаток опыта/ресурсов для автоматизации тестов и проверок безопасности.</t>
  </si>
  <si>
    <r>
      <t xml:space="preserve">URL: </t>
    </r>
    <r>
      <rPr>
        <u/>
        <sz val="10"/>
        <color rgb="FF1155CC"/>
        <rFont val="Arial"/>
      </rPr>
      <t>https://www.kaspersky.com/blog/devops-security-hybrid/36021/</t>
    </r>
    <r>
      <rPr>
        <sz val="10"/>
        <color rgb="FF000000"/>
        <rFont val="Arial"/>
        <scheme val="minor"/>
      </rPr>
      <t xml:space="preserve">  
URL: </t>
    </r>
    <r>
      <rPr>
        <u/>
        <sz val="10"/>
        <color rgb="FF1155CC"/>
        <rFont val="Arial"/>
      </rPr>
      <t>https://usa.kaspersky.com/blog/secure-futures-magazine/cybersecurity/22413/</t>
    </r>
    <r>
      <rPr>
        <sz val="10"/>
        <color rgb="FF000000"/>
        <rFont val="Arial"/>
        <scheme val="minor"/>
      </rPr>
      <t xml:space="preserve">  
URL: </t>
    </r>
    <r>
      <rPr>
        <u/>
        <sz val="10"/>
        <color rgb="FF1155CC"/>
        <rFont val="Arial"/>
      </rPr>
      <t>https://protect.gost.ru/default.aspx/document1.aspx?baseC=6&amp;control=31&amp;id=263523&amp;month=11&amp;page=1&amp;search=&amp;year=2024</t>
    </r>
  </si>
  <si>
    <t>Меры минимизации рисков</t>
  </si>
  <si>
    <t>• Внедрение Agile/DevSecOps, регулярные ретроспективы и «shift-left»-контроли.
 • Автоматизация SAST/DAST, secret-scan, quality-gates в CI/CD.
 • Обучение и повышение квалификации команды по безопасной разработке.
 • Регламенты и стандартные процедуры по ИБ на всех этапах ЖЦ (ГОСТ, ISO).</t>
  </si>
  <si>
    <r>
      <t xml:space="preserve">URL: </t>
    </r>
    <r>
      <rPr>
        <u/>
        <sz val="10"/>
        <color rgb="FF1155CC"/>
        <rFont val="Arial"/>
      </rPr>
      <t xml:space="preserve">https://protect.gost.ru/default.aspx/document1.aspx?baseC=6&amp;control=31&amp;id=263523&amp;month=11&amp;page=1&amp;search=&amp;year=2024
</t>
    </r>
    <r>
      <rPr>
        <sz val="10"/>
        <color rgb="FF000000"/>
        <rFont val="Arial"/>
        <scheme val="minor"/>
      </rPr>
      <t xml:space="preserve">URL: </t>
    </r>
    <r>
      <rPr>
        <u/>
        <sz val="10"/>
        <color rgb="FF1155CC"/>
        <rFont val="Arial"/>
      </rPr>
      <t>https://www.kaspersky.com/kcs</t>
    </r>
    <r>
      <rPr>
        <sz val="10"/>
        <color rgb="FF000000"/>
        <rFont val="Arial"/>
        <scheme val="minor"/>
      </rPr>
      <t xml:space="preserve"> </t>
    </r>
  </si>
  <si>
    <t>Пример внедрения БРПО</t>
  </si>
  <si>
    <t>• Интеграция статического/динамического анализа кода в CI/CD пайплайн; мониторинг уязвимостей.
 • Дашборды и отчётность по уязвимостям/обновлениям в консолях управления.</t>
  </si>
  <si>
    <r>
      <t xml:space="preserve">URL: </t>
    </r>
    <r>
      <rPr>
        <u/>
        <sz val="10"/>
        <color rgb="FF1155CC"/>
        <rFont val="Arial"/>
      </rPr>
      <t>https://www.kaspersky.com/kcs</t>
    </r>
    <r>
      <rPr>
        <sz val="10"/>
        <color rgb="FF000000"/>
        <rFont val="Arial"/>
        <scheme val="minor"/>
      </rPr>
      <t xml:space="preserve"> 
URL: </t>
    </r>
    <r>
      <rPr>
        <u/>
        <sz val="10"/>
        <color rgb="FF1155CC"/>
        <rFont val="Arial"/>
      </rPr>
      <t>https://support.kaspersky.com/KSC/CloudConsole/en-US/182671.htm</t>
    </r>
    <r>
      <rPr>
        <sz val="10"/>
        <color rgb="FF000000"/>
        <rFont val="Arial"/>
        <scheme val="minor"/>
      </rPr>
      <t xml:space="preserve"> 
URL: </t>
    </r>
    <r>
      <rPr>
        <u/>
        <sz val="10"/>
        <color rgb="FF1155CC"/>
        <rFont val="Arial"/>
      </rPr>
      <t>https://support.kaspersky.com/KSC/CloudConsole/en-US/182760.htm</t>
    </r>
  </si>
  <si>
    <r>
      <rPr>
        <b/>
        <sz val="9"/>
        <color rgb="FFFFFFFF"/>
        <rFont val="Arial"/>
      </rPr>
      <t xml:space="preserve">URL: </t>
    </r>
    <r>
      <rPr>
        <b/>
        <u/>
        <sz val="9"/>
        <color rgb="FFFFFFFF"/>
        <rFont val="Arial"/>
      </rPr>
      <t>https://www.kaspersky.ru/small-to-medium-business-security/cloud</t>
    </r>
    <r>
      <rPr>
        <b/>
        <sz val="9"/>
        <color rgb="FFFFFFFF"/>
        <rFont val="Arial"/>
      </rPr>
      <t xml:space="preserve">                                                                        URL: </t>
    </r>
    <r>
      <rPr>
        <b/>
        <u/>
        <sz val="9"/>
        <color rgb="FFFFFFFF"/>
        <rFont val="Arial"/>
      </rPr>
      <t>https://www.kaspersky.ru/enterprise-security/industrial-cybersecurity</t>
    </r>
    <r>
      <rPr>
        <b/>
        <sz val="9"/>
        <color rgb="FFFFFFFF"/>
        <rFont val="Arial"/>
      </rPr>
      <t xml:space="preserve">                                                                    URL: </t>
    </r>
    <r>
      <rPr>
        <b/>
        <u/>
        <sz val="9"/>
        <color rgb="FFFFFFFF"/>
        <rFont val="Arial"/>
      </rPr>
      <t>https://www.kaspersky.ru/small-to-medium-business-security/security-center</t>
    </r>
    <r>
      <rPr>
        <b/>
        <sz val="9"/>
        <color rgb="FFFFFFFF"/>
        <rFont val="Arial"/>
      </rPr>
      <t xml:space="preserve"> </t>
    </r>
  </si>
  <si>
    <t>Паспорт проекта: Kaspersky Industrial CyberSecurity (KICS)</t>
  </si>
  <si>
    <t>Метрики групповой динамики и контроль
Кем и как:
— Руководители разработки и безопасности определяют метрики: число обнаруженных уязвимостей, время исправления, качество кода, участие в code review и тестировании.
— Метрики задаются на этапе планирования и отслеживаются через системы управления задачами (например, Jira, Azure DevOps).
— Контроль обеспечивается автоматизированным сканированием кода, статическим анализом и CI/CD, а также регулярными совещаниями и ретроспективами.
Формирование панели управления БРПО
— Данные собираются из систем анализа кода, тестирования и мониторинга уязвимостей.
— Панель показывает статус задач, результаты автоматических проверок, количество уязвимостей, их критичность и статус исправлений.
— Ответственные: менеджеры проектов, аналитики по безопасности.
— Инструменты: Power BI, Grafana, интеграции с CI/CD.
Трудности в работе команд
— Недостаточная коммуникация и разрыв в понимании требований между разработкой и безопасностью.
— Стремление к быстрому релизу мешает выполнению всех требований ИБ.
— Сложности с автоматизацией тестирования и анализа кода из-за нехватки опыта или ресурсов.
Принятые решения
— Внедрение Agile/DevSecOps практик, обучение команд, регулярные междисциплинарные встречи.
— Автоматизация тестирования и сканирования.
— Введение стандартных процессов и регламентов по безопасности в цикл разработки.</t>
  </si>
  <si>
    <r>
      <rPr>
        <b/>
        <sz val="13"/>
        <color theme="1"/>
        <rFont val="Roboto"/>
      </rPr>
      <t>Метрики групповой динамики и контроль
Кем и как:</t>
    </r>
    <r>
      <rPr>
        <sz val="13"/>
        <color theme="1"/>
        <rFont val="Roboto"/>
      </rPr>
      <t xml:space="preserve">
— Руководители проектов и аналитики определяют показатели: количество протестированных систем, выявленных уязвимостей, уровень подготовки команды (в т. ч. по результатам обучения).
— Мониторинг ведётся через системы управления проектами, отчёты по тестированию и системы мониторинга безопасности.
— Контроль — через регулярные отчёты, встречи и автоматизированные системы сбора данных.
</t>
    </r>
    <r>
      <rPr>
        <b/>
        <sz val="13"/>
        <color theme="1"/>
        <rFont val="Roboto"/>
      </rPr>
      <t xml:space="preserve">Формирование панели управления БРПО
</t>
    </r>
    <r>
      <rPr>
        <sz val="13"/>
        <color theme="1"/>
        <rFont val="Roboto"/>
      </rPr>
      <t xml:space="preserve">— Данные поступают из систем тестирования, мониторинга безопасности и обучения персонала.
— Панель включает: показатели тестов, результаты аудитов, уровни обучения, статус устранения уязвимостей, инциденты.
— Ответственные: менеджеры, специалисты по безопасности и обучению.
— Используются Power BI, SIEM, системы управления инцидентами.
</t>
    </r>
    <r>
      <rPr>
        <b/>
        <sz val="13"/>
        <color theme="1"/>
        <rFont val="Roboto"/>
      </rPr>
      <t xml:space="preserve">Трудности в работе команд
</t>
    </r>
    <r>
      <rPr>
        <sz val="13"/>
        <color theme="1"/>
        <rFont val="Roboto"/>
      </rPr>
      <t xml:space="preserve">— Недостаточная подготовка персонала и низкая осведомлённость о новых угрозах.
— Необходимость тестирования в реальной промышленной среде, что требует времени и ресурсов.
— Разногласия между разработчиками и операторами по совместимости решений.
</t>
    </r>
    <r>
      <rPr>
        <b/>
        <sz val="13"/>
        <color theme="1"/>
        <rFont val="Roboto"/>
      </rPr>
      <t xml:space="preserve">Принятые решения
</t>
    </r>
    <r>
      <rPr>
        <sz val="13"/>
        <color theme="1"/>
        <rFont val="Roboto"/>
      </rPr>
      <t>— Обучение и сертификация сотрудников.
— Постоянное взаимодействие с заказчиком, пилоты и тестирование в реальных условиях.
— Внедрение процессов тестирования безопасности и автоматизации.</t>
    </r>
  </si>
  <si>
    <r>
      <rPr>
        <b/>
        <sz val="13"/>
        <color theme="1"/>
        <rFont val="Roboto"/>
      </rPr>
      <t>Метрики групповой динамики и контроль
Кем и как:</t>
    </r>
    <r>
      <rPr>
        <sz val="13"/>
        <color theme="1"/>
        <rFont val="Roboto"/>
      </rPr>
      <t xml:space="preserve">
— Руководители развития и безопасности формируют KPI: скорость обновлений, число ошибок при автоматическом обновлении, время реакции на инциденты.
— Контроль — через автоматические тесты, мониторинг обновлений, отчёты о сбоях и их устранении.
— Регулярно отслеживаются показатели отказов и инцидентов, связанных с обновлениями.
</t>
    </r>
    <r>
      <rPr>
        <b/>
        <sz val="13"/>
        <color theme="1"/>
        <rFont val="Roboto"/>
      </rPr>
      <t xml:space="preserve">Формирование панели управления БРПО
</t>
    </r>
    <r>
      <rPr>
        <sz val="13"/>
        <color theme="1"/>
        <rFont val="Roboto"/>
      </rPr>
      <t xml:space="preserve">— Информация поступает из систем автоматического обновления, SIEM и систем тестирования.
— Панель отражает статус обновлений, результаты авто-тестов, инциденты и эффективность управления.
— Ответственные: инженеры и менеджеры по обновлениям.
— Инструменты: Power BI, системы мониторинга и автоматизации.
</t>
    </r>
    <r>
      <rPr>
        <b/>
        <sz val="13"/>
        <color theme="1"/>
        <rFont val="Roboto"/>
      </rPr>
      <t xml:space="preserve">Трудности в работе команд
</t>
    </r>
    <r>
      <rPr>
        <sz val="13"/>
        <color theme="1"/>
        <rFont val="Roboto"/>
      </rPr>
      <t xml:space="preserve">— Ошибки при автоматических обновлениях, вызывающие сбои или уязвимости.
— Риски взлома каналов обновления и утечек данных.
— Недостаточная автоматизация процессов реагирования на инциденты.
</t>
    </r>
    <r>
      <rPr>
        <b/>
        <sz val="13"/>
        <color theme="1"/>
        <rFont val="Roboto"/>
      </rPr>
      <t xml:space="preserve">Принятые решения
</t>
    </r>
    <r>
      <rPr>
        <sz val="13"/>
        <color theme="1"/>
        <rFont val="Roboto"/>
      </rPr>
      <t>— Разработка автоматических тестов обновлений и процедур отката.
— Шифрование и аутентификация каналов обновлений.
— Интеграция с SIEM для ускоренного реагирования на инциденты.</t>
    </r>
  </si>
  <si>
    <t>• Защита АСУ ТП/SCADA и критической инфраструктуры от киберугроз (включая легаси-компоненты).
 • Непрерывный мониторинг сетевого трафика, обнаружение аномалий и инцидентов.
 • Повышение устойчивости технологических процессов и снижение риска киберинцидентов.
 • Подготовка персонала и аудит соответствия стандартам.</t>
  </si>
  <si>
    <r>
      <t xml:space="preserve">URL: </t>
    </r>
    <r>
      <rPr>
        <u/>
        <sz val="10"/>
        <color rgb="FF1155CC"/>
        <rFont val="Arial"/>
      </rPr>
      <t>https://www.kaspersky.com/enterprise-security/industrial-cybersecurity</t>
    </r>
    <r>
      <rPr>
        <sz val="10"/>
        <color rgb="FF000000"/>
        <rFont val="Arial"/>
        <scheme val="minor"/>
      </rPr>
      <t xml:space="preserve"> 
URL: </t>
    </r>
    <r>
      <rPr>
        <u/>
        <sz val="10"/>
        <color rgb="FF1155CC"/>
        <rFont val="Arial"/>
      </rPr>
      <t>https://www.kaspersky.ru/enterprise-security/industrial-cybersecurity</t>
    </r>
  </si>
  <si>
    <t>1) Недостаточная подготовка персонала по ИБ в OT-среде → операционные ошибки.
 2) Необходимость испытаний в реальных условиях производства (непрерывные процессы, высокая цена простоя).
 3) Конфликты совместимости новых средств ИБ с существующим промышленным ПО/оборудованием.</t>
  </si>
  <si>
    <r>
      <t xml:space="preserve">URL: </t>
    </r>
    <r>
      <rPr>
        <u/>
        <sz val="10"/>
        <color rgb="FF1155CC"/>
        <rFont val="Arial"/>
      </rPr>
      <t>https://www.kaspersky.com/enterprise-security/industrial-cybersecurity</t>
    </r>
    <r>
      <rPr>
        <sz val="10"/>
        <color rgb="FF000000"/>
        <rFont val="Arial"/>
        <scheme val="minor"/>
      </rPr>
      <t xml:space="preserve">) 
URL: </t>
    </r>
    <r>
      <rPr>
        <u/>
        <sz val="10"/>
        <color rgb="FF1155CC"/>
        <rFont val="Arial"/>
      </rPr>
      <t>https://support.kaspersky.com/kics-for-networks/4.1/134912</t>
    </r>
    <r>
      <rPr>
        <sz val="10"/>
        <color rgb="FF000000"/>
        <rFont val="Arial"/>
        <scheme val="minor"/>
      </rPr>
      <t xml:space="preserve"> </t>
    </r>
  </si>
  <si>
    <t>• Обучение и сертификация инженеров/операторов; регламенты реагирования.
 • Пилотные внедрения на полигонах, поэтапная адаптация под конкретные процессы.
 • Постоянный аудит/мониторинг, интеграция с SIEM для корреляции и инцидент-менеджмента.</t>
  </si>
  <si>
    <r>
      <t xml:space="preserve">URL: </t>
    </r>
    <r>
      <rPr>
        <u/>
        <sz val="10"/>
        <color rgb="FF1155CC"/>
        <rFont val="Arial"/>
      </rPr>
      <t>https://support.kaspersky.com/kics-for-networks/4.1/134912</t>
    </r>
    <r>
      <rPr>
        <sz val="10"/>
        <color rgb="FF000000"/>
        <rFont val="Arial"/>
        <scheme val="minor"/>
      </rPr>
      <t xml:space="preserve"> 
URL: </t>
    </r>
    <r>
      <rPr>
        <u/>
        <sz val="10"/>
        <color rgb="FF1155CC"/>
        <rFont val="Arial"/>
      </rPr>
      <t>https://support.kaspersky.ru/help/KUMA/3.4/en-US/217694.htm</t>
    </r>
    <r>
      <rPr>
        <sz val="10"/>
        <color rgb="FF000000"/>
        <rFont val="Arial"/>
        <scheme val="minor"/>
      </rPr>
      <t xml:space="preserve"> </t>
    </r>
  </si>
  <si>
    <t>• DPI/поведенческий анализ трафика и регистрация событий/инцидентов, журналирование и карты взаимодействий.
 • Интеграция с KUMA (SIEM) для корреляции и реагирования; веб-виджеты и дашборды по событиям/рискам.</t>
  </si>
  <si>
    <r>
      <t xml:space="preserve">URL: </t>
    </r>
    <r>
      <rPr>
        <u/>
        <sz val="10"/>
        <color rgb="FF1155CC"/>
        <rFont val="Arial"/>
      </rPr>
      <t>https://support.kaspersky.com/kics-for-networks/4.1/134912</t>
    </r>
    <r>
      <rPr>
        <sz val="10"/>
        <color rgb="FF000000"/>
        <rFont val="Arial"/>
        <scheme val="minor"/>
      </rPr>
      <t xml:space="preserve"> 
URL: </t>
    </r>
    <r>
      <rPr>
        <u/>
        <sz val="10"/>
        <color rgb="FF1155CC"/>
        <rFont val="Arial"/>
      </rPr>
      <t>https://support.kaspersky.com/kics-for-networks/4.1/186158</t>
    </r>
    <r>
      <rPr>
        <sz val="10"/>
        <color rgb="FF000000"/>
        <rFont val="Arial"/>
        <scheme val="minor"/>
      </rPr>
      <t xml:space="preserve"> 
URL: </t>
    </r>
    <r>
      <rPr>
        <u/>
        <sz val="10"/>
        <color rgb="FF1155CC"/>
        <rFont val="Arial"/>
      </rPr>
      <t>https://support.kaspersky.ru/kics-for-networks/4.1/226607</t>
    </r>
    <r>
      <rPr>
        <sz val="10"/>
        <color rgb="FF000000"/>
        <rFont val="Arial"/>
        <scheme val="minor"/>
      </rPr>
      <t xml:space="preserve"> 
URL: </t>
    </r>
    <r>
      <rPr>
        <u/>
        <sz val="10"/>
        <color rgb="FF1155CC"/>
        <rFont val="Arial"/>
      </rPr>
      <t>https://support.kaspersky.ru/help/KUMA/3.4/en-US/217694.htm</t>
    </r>
    <r>
      <rPr>
        <sz val="10"/>
        <color rgb="FF000000"/>
        <rFont val="Arial"/>
        <scheme val="minor"/>
      </rPr>
      <t xml:space="preserve"> </t>
    </r>
  </si>
  <si>
    <t>Паспорт проекта: Kaspersky Security Center (KSC)</t>
  </si>
  <si>
    <t>• Централизованное управление безопасностью корпоративной инфраструктуры («single pane of glass»).
 • Автоматизация развёртывания, обновлений, администрирования средств защиты.
 • Мониторинг уязвимостей/инцидентов и контроль обновлений стороннего ПО.
 • Снижение нагрузки на администраторов, ускорение реакции на угрозы.</t>
  </si>
  <si>
    <r>
      <t xml:space="preserve">URL: </t>
    </r>
    <r>
      <rPr>
        <u/>
        <sz val="10"/>
        <color rgb="FF1155CC"/>
        <rFont val="Arial"/>
      </rPr>
      <t>https://www.kaspersky.com/small-to-medium-business-security/security-center</t>
    </r>
    <r>
      <rPr>
        <sz val="10"/>
        <color rgb="FF000000"/>
        <rFont val="Arial"/>
        <scheme val="minor"/>
      </rPr>
      <t xml:space="preserve"> 
URL: </t>
    </r>
    <r>
      <rPr>
        <u/>
        <sz val="10"/>
        <color rgb="FF1155CC"/>
        <rFont val="Arial"/>
      </rPr>
      <t>https://support.kaspersky.com/KSC/15.1/en-US/Kaspersky%20Security%20Center%2015.1%20Windows-English.pdf</t>
    </r>
    <r>
      <rPr>
        <sz val="10"/>
        <color rgb="FF000000"/>
        <rFont val="Arial"/>
        <scheme val="minor"/>
      </rPr>
      <t xml:space="preserve"> </t>
    </r>
  </si>
  <si>
    <t>1) Ошибки при автообновлениях компонентов → потенциальные сбои.
 2) Риски утечки/подмены при некорректно защищённых процессах обновлений.
 3) Недостаточная автоматизация реагирования при большом объёме событий.</t>
  </si>
  <si>
    <r>
      <t xml:space="preserve">URL: </t>
    </r>
    <r>
      <rPr>
        <u/>
        <sz val="10"/>
        <color rgb="FF1155CC"/>
        <rFont val="Arial"/>
      </rPr>
      <t>https://support.kaspersky.com/KSC/15.1/en-US/Kaspersky%20Security%20Center%2015.1%20Windows-English.pdf</t>
    </r>
    <r>
      <rPr>
        <sz val="10"/>
        <color rgb="FF000000"/>
        <rFont val="Arial"/>
        <scheme val="minor"/>
      </rPr>
      <t xml:space="preserve"> 
URL: </t>
    </r>
    <r>
      <rPr>
        <u/>
        <sz val="10"/>
        <color rgb="FF1155CC"/>
        <rFont val="Arial"/>
      </rPr>
      <t>https://support.kaspersky.com/ksc/14/en-US/183925.htm</t>
    </r>
    <r>
      <rPr>
        <sz val="10"/>
        <color rgb="FF000000"/>
        <rFont val="Arial"/>
        <scheme val="minor"/>
      </rPr>
      <t xml:space="preserve"> 
URL: </t>
    </r>
    <r>
      <rPr>
        <u/>
        <sz val="10"/>
        <color rgb="FF1155CC"/>
        <rFont val="Arial"/>
      </rPr>
      <t>https://support.kaspersky.com/help/KUMA/3.4/en-US/217694.htm</t>
    </r>
    <r>
      <rPr>
        <sz val="10"/>
        <color rgb="FF000000"/>
        <rFont val="Arial"/>
        <scheme val="minor"/>
      </rPr>
      <t xml:space="preserve"> </t>
    </r>
  </si>
  <si>
    <t>• Тест-кольца/пилотные группы для проверок перед тиражом.
 • Защищённые каналы, проверка цифровых подписей пакетов обновлений.
 • Интеграция с SIEM (KUMA) для корреляции/реагирования; обучение администраторов.</t>
  </si>
  <si>
    <r>
      <t xml:space="preserve">URL: </t>
    </r>
    <r>
      <rPr>
        <u/>
        <sz val="10"/>
        <color rgb="FF1155CC"/>
        <rFont val="Arial"/>
      </rPr>
      <t>https://support.kaspersky.com/KSC/15.1/en-US/Kaspersky%20Security%20Center%2015.1%20Windows-English.pdf</t>
    </r>
    <r>
      <rPr>
        <sz val="10"/>
        <color rgb="FF000000"/>
        <rFont val="Arial"/>
        <scheme val="minor"/>
      </rPr>
      <t xml:space="preserve"> 
URL: </t>
    </r>
    <r>
      <rPr>
        <u/>
        <sz val="10"/>
        <color rgb="FF1155CC"/>
        <rFont val="Arial"/>
      </rPr>
      <t>https://support.kaspersky.com/help/KUMA/3.4/en-US/217694.htm</t>
    </r>
    <r>
      <rPr>
        <sz val="10"/>
        <color rgb="FF000000"/>
        <rFont val="Arial"/>
        <scheme val="minor"/>
      </rPr>
      <t xml:space="preserve"> </t>
    </r>
  </si>
  <si>
    <t>• Автоматическое обновление компонентов и стороннего ПО с контролем целостности.
 • Задачи «Поиск уязвимостей» и «Установка требуемых обновлений и исправление уязвимостей».
 • Дашборды статусов устройств/уязвимостей/обновлений; интеграция с KUMA.</t>
  </si>
  <si>
    <r>
      <t xml:space="preserve">URL: </t>
    </r>
    <r>
      <rPr>
        <u/>
        <sz val="10"/>
        <color rgb="FF1155CC"/>
        <rFont val="Arial"/>
      </rPr>
      <t>https://support.kaspersky.com/ksc/14/en-US/183925.htm</t>
    </r>
    <r>
      <rPr>
        <sz val="10"/>
        <color rgb="FF000000"/>
        <rFont val="Arial"/>
        <scheme val="minor"/>
      </rPr>
      <t xml:space="preserve"> 
URL: </t>
    </r>
    <r>
      <rPr>
        <u/>
        <sz val="10"/>
        <color rgb="FF1155CC"/>
        <rFont val="Arial"/>
      </rPr>
      <t>https://support.kaspersky.com/ksc/15.1/172841</t>
    </r>
    <r>
      <rPr>
        <sz val="10"/>
        <color rgb="FF000000"/>
        <rFont val="Arial"/>
        <scheme val="minor"/>
      </rPr>
      <t xml:space="preserve"> 
URL: </t>
    </r>
    <r>
      <rPr>
        <u/>
        <sz val="10"/>
        <color rgb="FF1155CC"/>
        <rFont val="Arial"/>
      </rPr>
      <t>https://support.kaspersky.com/KSC/CloudConsole/en-US/182671.htm</t>
    </r>
    <r>
      <rPr>
        <sz val="10"/>
        <color rgb="FF000000"/>
        <rFont val="Arial"/>
        <scheme val="minor"/>
      </rPr>
      <t xml:space="preserve"> 
URL: </t>
    </r>
    <r>
      <rPr>
        <u/>
        <sz val="10"/>
        <color rgb="FF1155CC"/>
        <rFont val="Arial"/>
      </rPr>
      <t>https://support.kaspersky.com/KSC/CloudConsole/en-US/182760.htm</t>
    </r>
    <r>
      <rPr>
        <sz val="10"/>
        <color rgb="FF000000"/>
        <rFont val="Arial"/>
        <scheme val="minor"/>
      </rPr>
      <t xml:space="preserve"> 
URL: </t>
    </r>
    <r>
      <rPr>
        <u/>
        <sz val="10"/>
        <color rgb="FF1155CC"/>
        <rFont val="Arial"/>
      </rPr>
      <t>https://support.kaspersky.com/KSC/15.1/en-US/Kaspersky%20Security%20Center%2015.1%20Windows-English.pdf</t>
    </r>
    <r>
      <rPr>
        <sz val="10"/>
        <color rgb="FF000000"/>
        <rFont val="Arial"/>
        <scheme val="minor"/>
      </rPr>
      <t xml:space="preserve"> </t>
    </r>
  </si>
  <si>
    <t>Этап</t>
  </si>
  <si>
    <t>Общее описание (Secure SDLC)</t>
  </si>
  <si>
    <t>Kaspersky Endpoint Security (KES)</t>
  </si>
  <si>
    <t>Kaspersky Industrial CyberSecurity (KICS)</t>
  </si>
  <si>
    <t>Kaspersky Security Center (KSC)</t>
  </si>
  <si>
    <t>1. Инициирование и планирование</t>
  </si>
  <si>
    <r>
      <t>Определяются бизнес-цели и требования безопасности к продукту, границы системы, заинтересованные стороны; формируются критерии приёмки по ИБ. Требование: непрерывность учёта ИБ на всех этапах ЖЦ. (</t>
    </r>
    <r>
      <rPr>
        <u/>
        <sz val="10"/>
        <color rgb="FF000000"/>
        <rFont val="Arial"/>
      </rPr>
      <t>docs.cntd.ru</t>
    </r>
    <r>
      <rPr>
        <sz val="10"/>
        <color rgb="FF000000"/>
        <rFont val="Arial"/>
      </rPr>
      <t>)</t>
    </r>
  </si>
  <si>
    <r>
      <t>Цели: многоуровневая защита рабочих мест/серверов, централизованное управление через облачную/веб-консоль, внедрение функций снижения поверхности атаки (управление уязвимостями). Это закладывается как целевые требования к продукту и сценариям эксплуатации. (</t>
    </r>
    <r>
      <rPr>
        <u/>
        <sz val="10"/>
        <color rgb="FF000000"/>
        <rFont val="Arial"/>
      </rPr>
      <t>kaspersky.ru</t>
    </r>
    <r>
      <rPr>
        <sz val="10"/>
        <color rgb="FF000000"/>
        <rFont val="Arial"/>
      </rPr>
      <t>)</t>
    </r>
  </si>
  <si>
    <r>
      <t>Цели: защита промышленных сетей и узлов (АСУ ТП/SCADA), непрерывный мониторинг трафика и инцидентов, совместимость с ИТ/ОТ-инфраструктурой заказчика; определяются типовые OT-риски и границы внедрения. (</t>
    </r>
    <r>
      <rPr>
        <u/>
        <sz val="10"/>
        <color rgb="FF000000"/>
        <rFont val="Arial"/>
      </rPr>
      <t>kaspersky.ru</t>
    </r>
    <r>
      <rPr>
        <sz val="10"/>
        <color rgb="FF000000"/>
        <rFont val="Arial"/>
      </rPr>
      <t>)</t>
    </r>
  </si>
  <si>
    <r>
      <t>Цели: единая консоль управления ИБ, инвентаризация, управление обновлениями и уязвимостями, масштабируемость под десятки тысяч хостов. Эти цели фиксируются как требования к развертыванию/поддержке. (</t>
    </r>
    <r>
      <rPr>
        <u/>
        <sz val="10"/>
        <color rgb="FF000000"/>
        <rFont val="Arial"/>
      </rPr>
      <t>kaspersky.ru</t>
    </r>
    <r>
      <rPr>
        <sz val="10"/>
        <color rgb="FF000000"/>
        <rFont val="Arial"/>
      </rPr>
      <t>)</t>
    </r>
  </si>
  <si>
    <r>
      <t>ГОСТ Р 56939-2024 (требования к работам по БРПО); описания продуктов KES/KICS/KSC. (</t>
    </r>
    <r>
      <rPr>
        <u/>
        <sz val="10"/>
        <color rgb="FF000000"/>
        <rFont val="Arial"/>
      </rPr>
      <t>docs.cntd.ru</t>
    </r>
    <r>
      <rPr>
        <sz val="10"/>
        <color rgb="FF000000"/>
        <rFont val="Arial"/>
      </rPr>
      <t>)</t>
    </r>
  </si>
  <si>
    <t>2. Проектирование</t>
  </si>
  <si>
    <r>
      <t>Проектируются архитектурные решения с принципами Security by Design и минимизации доверенной базы; планируются интеграции и механизмы контроля (логирование, корреляция, управление событиями). (</t>
    </r>
    <r>
      <rPr>
        <u/>
        <sz val="10"/>
        <color rgb="FF000000"/>
        <rFont val="Arial"/>
      </rPr>
      <t>media.kaspersky.com</t>
    </r>
    <r>
      <rPr>
        <sz val="10"/>
        <color rgb="FF000000"/>
        <rFont val="Arial"/>
      </rPr>
      <t>)</t>
    </r>
  </si>
  <si>
    <r>
      <t>Архитектура KES — многоуровневая защита (в т.ч. поведенческий анализ/ML, противодействие эксплойтам и бесфайловым атакам), управление политиками через консоль. Проектируются политики и модели развертывания. (</t>
    </r>
    <r>
      <rPr>
        <u/>
        <sz val="10"/>
        <color rgb="FF000000"/>
        <rFont val="Arial"/>
      </rPr>
      <t>kaspersky.ru</t>
    </r>
    <r>
      <rPr>
        <sz val="10"/>
        <color rgb="FF000000"/>
        <rFont val="Arial"/>
      </rPr>
      <t>)</t>
    </r>
  </si>
  <si>
    <r>
      <t>Архитектура KICS — DPI/поведенческий анализ трафика, XDR-подход для OT, видимость цепочки инцидентов и активов, совместимость с системами промышленной автоматизации. Проектируются точки наблюдения и корелляции. (</t>
    </r>
    <r>
      <rPr>
        <u/>
        <sz val="10"/>
        <color rgb="FF000000"/>
        <rFont val="Arial"/>
      </rPr>
      <t>content.kaspersky-labs.com</t>
    </r>
    <r>
      <rPr>
        <sz val="10"/>
        <color rgb="FF000000"/>
        <rFont val="Arial"/>
      </rPr>
      <t>)</t>
    </r>
  </si>
  <si>
    <r>
      <t>Архитектура KSC — масштабируемая веб-консоль, плагины для управления разными продуктами, иерархия серверов, масштаб до 100k рабочих мест. Проектируются роли, иерархии, плагины. (</t>
    </r>
    <r>
      <rPr>
        <u/>
        <sz val="10"/>
        <color rgb="FF000000"/>
        <rFont val="Arial"/>
      </rPr>
      <t>kaspersky.ru</t>
    </r>
    <r>
      <rPr>
        <sz val="10"/>
        <color rgb="FF000000"/>
        <rFont val="Arial"/>
      </rPr>
      <t>)</t>
    </r>
  </si>
  <si>
    <r>
      <t>Kaspersky white paper по SDL; tech-/product-овerview KICS; страницы KES/KSC. (</t>
    </r>
    <r>
      <rPr>
        <u/>
        <sz val="10"/>
        <color rgb="FF000000"/>
        <rFont val="Arial"/>
      </rPr>
      <t>media.kaspersky.com</t>
    </r>
    <r>
      <rPr>
        <sz val="10"/>
        <color rgb="FF000000"/>
        <rFont val="Arial"/>
      </rPr>
      <t>)</t>
    </r>
  </si>
  <si>
    <t>3. Разработка</t>
  </si>
  <si>
    <r>
      <t>Реализация с практиками Secure Coding; «shift-left»-контроли, включающие проверки безопасности на ранних этапах; учёт модели угроз; подготовка телеметрии и журналирования под дальнейший мониторинг. (</t>
    </r>
    <r>
      <rPr>
        <u/>
        <sz val="10"/>
        <color rgb="FF000000"/>
        <rFont val="Arial"/>
      </rPr>
      <t>media.kaspersky.com</t>
    </r>
    <r>
      <rPr>
        <sz val="10"/>
        <color rgb="FF000000"/>
        <rFont val="Arial"/>
      </rPr>
      <t>)</t>
    </r>
  </si>
  <si>
    <r>
      <t>В KES при разработке учитываются сценарии эксплуатации на конечных узлах, интеграция с EDR для последующей аналитики и реагирования; готовятся политики и возможности управляемых обновлений. (Описание стека защиты/EDR в линейке KES/KEDR). (</t>
    </r>
    <r>
      <rPr>
        <u/>
        <sz val="10"/>
        <color rgb="FF000000"/>
        <rFont val="Arial"/>
      </rPr>
      <t>support.kaspersky.ru</t>
    </r>
    <r>
      <rPr>
        <sz val="10"/>
        <color rgb="FF000000"/>
        <rFont val="Arial"/>
      </rPr>
      <t>)</t>
    </r>
  </si>
  <si>
    <r>
      <t>В KICS разраб. ориентирована на совместимость с OT, малое влияние на технологический процесс, поддержку анализа промышленных протоколов и телеметрии для последующего реагирования и аудита. (</t>
    </r>
    <r>
      <rPr>
        <u/>
        <sz val="10"/>
        <color rgb="FF000000"/>
        <rFont val="Arial"/>
      </rPr>
      <t>content.kaspersky-labs.com</t>
    </r>
    <r>
      <rPr>
        <sz val="10"/>
        <color rgb="FF000000"/>
        <rFont val="Arial"/>
      </rPr>
      <t>)</t>
    </r>
  </si>
  <si>
    <r>
      <t>В KSC — реализуются механизмы задач по поиску уязвимостей и установке обновлений, работа с репозиториями обновлений и доверенными источниками, расширяемость через плагины. (</t>
    </r>
    <r>
      <rPr>
        <u/>
        <sz val="10"/>
        <color rgb="FF000000"/>
        <rFont val="Arial"/>
      </rPr>
      <t>support.kaspersky.ru</t>
    </r>
    <r>
      <rPr>
        <sz val="10"/>
        <color rgb="FF000000"/>
        <rFont val="Arial"/>
      </rPr>
      <t>)</t>
    </r>
  </si>
  <si>
    <r>
      <t>Kaspersky SDL white paper; EDR/Optimum/Expert; KSC tasks. (</t>
    </r>
    <r>
      <rPr>
        <u/>
        <sz val="10"/>
        <color rgb="FF000000"/>
        <rFont val="Arial"/>
      </rPr>
      <t>media.kaspersky.com</t>
    </r>
    <r>
      <rPr>
        <sz val="10"/>
        <color rgb="FF000000"/>
        <rFont val="Arial"/>
      </rPr>
      <t>)</t>
    </r>
  </si>
  <si>
    <t>4. Тестирование и проверка</t>
  </si>
  <si>
    <r>
      <t>Статический/динамический анализ, моделирование угроз, совместимость, нагрузочные и интеграционные тесты; для корпоративных решений — валидация обновлений перед массовым развёртыванием. (</t>
    </r>
    <r>
      <rPr>
        <u/>
        <sz val="10"/>
        <color rgb="FF000000"/>
        <rFont val="Arial"/>
      </rPr>
      <t>securelist.ru</t>
    </r>
    <r>
      <rPr>
        <sz val="10"/>
        <color rgb="FF000000"/>
        <rFont val="Arial"/>
      </rPr>
      <t>)</t>
    </r>
  </si>
  <si>
    <r>
      <t>KES проверяется на устойчивость к современным техникам (в т.ч. fileless), поведенческие детекторы; при пилотных внедрениях проверяются политики и правила контроля на тест-группах. (</t>
    </r>
    <r>
      <rPr>
        <u/>
        <sz val="10"/>
        <color rgb="FF000000"/>
        <rFont val="Arial"/>
      </rPr>
      <t>kaspersky.ru</t>
    </r>
    <r>
      <rPr>
        <sz val="10"/>
        <color rgb="FF000000"/>
        <rFont val="Arial"/>
      </rPr>
      <t>)</t>
    </r>
  </si>
  <si>
    <r>
      <t>KICS тестируется на реалистичных OT-сценариях: регистрация событий/инцидентов, правила Process Control, интеграции с внешними системами. (</t>
    </r>
    <r>
      <rPr>
        <u/>
        <sz val="10"/>
        <color rgb="FF000000"/>
        <rFont val="Arial"/>
      </rPr>
      <t>support.kaspersky.com</t>
    </r>
    <r>
      <rPr>
        <sz val="10"/>
        <color rgb="FF000000"/>
        <rFont val="Arial"/>
      </rPr>
      <t>)</t>
    </r>
  </si>
  <si>
    <r>
      <t>В KSC рекомендуют тест-кольца/группы для проверки обновлений и задач до тиража; есть задача «Проверка обновлений» и гайды по безопасному одобрению патчей. (</t>
    </r>
    <r>
      <rPr>
        <u/>
        <sz val="10"/>
        <color rgb="FF000000"/>
        <rFont val="Arial"/>
      </rPr>
      <t>support.kaspersky.com</t>
    </r>
    <r>
      <rPr>
        <sz val="10"/>
        <color rgb="FF000000"/>
        <rFont val="Arial"/>
      </rPr>
      <t>)</t>
    </r>
  </si>
  <si>
    <r>
      <t>SecureList про методики тестирования; KICS help (events/incidents); KSC help (проверка/одобрение обновлений). (</t>
    </r>
    <r>
      <rPr>
        <u/>
        <sz val="10"/>
        <color rgb="FF000000"/>
        <rFont val="Arial"/>
      </rPr>
      <t>securelist.ru</t>
    </r>
    <r>
      <rPr>
        <sz val="10"/>
        <color rgb="FF000000"/>
        <rFont val="Arial"/>
      </rPr>
      <t>)</t>
    </r>
  </si>
  <si>
    <t>5. Внедрение</t>
  </si>
  <si>
    <r>
      <t>Развёртывание в целевой среде, «жёсткая» настройка, контроль соответствия требованиям; для промышленных сред — минимизация влияния на процессы; для корпоративных — плавный выпуск политик и агентов. (</t>
    </r>
    <r>
      <rPr>
        <u/>
        <sz val="10"/>
        <color rgb="FF000000"/>
        <rFont val="Arial"/>
      </rPr>
      <t>docs.cntd.ru</t>
    </r>
    <r>
      <rPr>
        <sz val="10"/>
        <color rgb="FF000000"/>
        <rFont val="Arial"/>
      </rPr>
      <t>)</t>
    </r>
  </si>
  <si>
    <r>
      <t>KES: развёртывание агентов и политик, включение защитных модулей, при необходимости — интеграция с EDR; пошаговые инструкции по развёртыванию/обновлению из KSC. (</t>
    </r>
    <r>
      <rPr>
        <u/>
        <sz val="10"/>
        <color rgb="FF000000"/>
        <rFont val="Arial"/>
      </rPr>
      <t>support.kaspersky.com</t>
    </r>
    <r>
      <rPr>
        <sz val="10"/>
        <color rgb="FF000000"/>
        <rFont val="Arial"/>
      </rPr>
      <t>)</t>
    </r>
  </si>
  <si>
    <r>
      <t>KICS: внедрение датчиков на зеркалах трафика/узлах, настройка правил DPI/Process Control; возможна интеграция с KUMA (SIEM) для корреляции и инцидент-менеджмента. (</t>
    </r>
    <r>
      <rPr>
        <u/>
        <sz val="10"/>
        <color rgb="FF000000"/>
        <rFont val="Arial"/>
      </rPr>
      <t>content.kaspersky-labs.com</t>
    </r>
    <r>
      <rPr>
        <sz val="10"/>
        <color rgb="FF000000"/>
        <rFont val="Arial"/>
      </rPr>
      <t>)</t>
    </r>
  </si>
  <si>
    <r>
      <t>KSC: установка сервера/иерархии, подключение плагинов, развёртывание агентов, настройка задач поиска уязвимостей и установки обновлений; масштабирование под филиалы. (</t>
    </r>
    <r>
      <rPr>
        <u/>
        <sz val="10"/>
        <color rgb="FF000000"/>
        <rFont val="Arial"/>
      </rPr>
      <t>kaspersky.ru</t>
    </r>
    <r>
      <rPr>
        <sz val="10"/>
        <color rgb="FF000000"/>
        <rFont val="Arial"/>
      </rPr>
      <t>)</t>
    </r>
  </si>
  <si>
    <r>
      <t>ГОСТ (внедрение и контроль соответствия); KUMA (SIEM); гайды по KES/KSC. (</t>
    </r>
    <r>
      <rPr>
        <u/>
        <sz val="10"/>
        <color rgb="FF000000"/>
        <rFont val="Arial"/>
      </rPr>
      <t>docs.cntd.ru</t>
    </r>
    <r>
      <rPr>
        <sz val="10"/>
        <color rgb="FF000000"/>
        <rFont val="Arial"/>
      </rPr>
      <t>)</t>
    </r>
  </si>
  <si>
    <t>6. Эксплуатация и сопровождение</t>
  </si>
  <si>
    <r>
      <rPr>
        <sz val="10"/>
        <color rgb="FF000000"/>
        <rFont val="Arial"/>
      </rPr>
      <t>Мониторинг, управление уязвимостями, обновления, инцидент-менеджмент; панели мониторинга; улучшения на основе телеметрии и отчётности. (</t>
    </r>
    <r>
      <rPr>
        <u/>
        <sz val="10"/>
        <color rgb="FF000000"/>
        <rFont val="Arial"/>
      </rPr>
      <t>docs.cntd.ru</t>
    </r>
    <r>
      <rPr>
        <sz val="10"/>
        <color rgb="FF000000"/>
        <rFont val="Arial"/>
      </rPr>
      <t>)</t>
    </r>
  </si>
  <si>
    <r>
      <t>KES: поведенческая защита, защита от бесфайловых угроз; совместно с EDR — анализ цепочки атаки и реагирование; управление из облачной/веб-консоли. (</t>
    </r>
    <r>
      <rPr>
        <u/>
        <sz val="10"/>
        <color rgb="FF000000"/>
        <rFont val="Arial"/>
      </rPr>
      <t>kaspersky.ru</t>
    </r>
    <r>
      <rPr>
        <sz val="10"/>
        <color rgb="FF000000"/>
        <rFont val="Arial"/>
      </rPr>
      <t>)</t>
    </r>
  </si>
  <si>
    <r>
      <t>KICS: регистрация событий и инцидентов на сервере, настройки типов событий и правил; интеграция с SIEM/KUMA для корреляции и реагирования; отчётность для OT. (</t>
    </r>
    <r>
      <rPr>
        <u/>
        <sz val="10"/>
        <color rgb="FF000000"/>
        <rFont val="Arial"/>
      </rPr>
      <t>support.kaspersky.com</t>
    </r>
    <r>
      <rPr>
        <sz val="10"/>
        <color rgb="FF000000"/>
        <rFont val="Arial"/>
      </rPr>
      <t>)</t>
    </r>
  </si>
  <si>
    <r>
      <t>KSC: поиск уязвимостей и установка требуемых обновлений, в т.ч. для сторонних приложений; параметры задач и поддержка расширенного списка вендоров; управление одобрением обновлений. (</t>
    </r>
    <r>
      <rPr>
        <u/>
        <sz val="10"/>
        <color rgb="FF000000"/>
        <rFont val="Arial"/>
      </rPr>
      <t>support.kaspersky.com</t>
    </r>
    <r>
      <rPr>
        <sz val="10"/>
        <color rgb="FF000000"/>
        <rFont val="Arial"/>
      </rPr>
      <t>)</t>
    </r>
  </si>
  <si>
    <r>
      <t>KES (fileless/behavior); KICS help (events/incidents); KUMA; KSC Cloud/Windows (vuln/patch). (</t>
    </r>
    <r>
      <rPr>
        <u/>
        <sz val="10"/>
        <color rgb="FF000000"/>
        <rFont val="Arial"/>
      </rPr>
      <t>kaspersky.ru</t>
    </r>
    <r>
      <rPr>
        <sz val="10"/>
        <color rgb="FF000000"/>
        <rFont val="Arial"/>
      </rPr>
      <t>)</t>
    </r>
  </si>
  <si>
    <t>7. Вывод из эксплуатации</t>
  </si>
  <si>
    <r>
      <t>Планируется безопасное завершение ЖЦ: удаление/вывод компонентов, сохранение журналов и артефактов для аудита, перенос политик/настроек, безопасное обращение с данными. Требования описаны в стандарте БРПО. (</t>
    </r>
    <r>
      <rPr>
        <u/>
        <sz val="10"/>
        <color rgb="FF000000"/>
        <rFont val="Arial"/>
      </rPr>
      <t>docs.cntd.ru</t>
    </r>
    <r>
      <rPr>
        <sz val="10"/>
        <color rgb="FF000000"/>
        <rFont val="Arial"/>
      </rPr>
      <t>)</t>
    </r>
  </si>
  <si>
    <r>
      <t>KES: корректное удаление агентов/политик, экспорт настроек при миграции, сохранение логов инцидентов в системах управления/аналитики. (Процедуры зависят от контура, управляются через KSC). (</t>
    </r>
    <r>
      <rPr>
        <u/>
        <sz val="10"/>
        <color rgb="FF000000"/>
        <rFont val="Arial"/>
      </rPr>
      <t>kaspersky.ru</t>
    </r>
    <r>
      <rPr>
        <sz val="10"/>
        <color rgb="FF000000"/>
        <rFont val="Arial"/>
      </rPr>
      <t>)</t>
    </r>
  </si>
  <si>
    <r>
      <t>KICS: завершение сбора телеметрии, архивация журналов событий/инцидентов, корректная остановка датчиков на зеркалах трафика/узлах, фиксация результатов аудита. (</t>
    </r>
    <r>
      <rPr>
        <u/>
        <sz val="10"/>
        <color rgb="FF000000"/>
        <rFont val="Arial"/>
      </rPr>
      <t>support.kaspersky.com</t>
    </r>
    <r>
      <rPr>
        <sz val="10"/>
        <color rgb="FF000000"/>
        <rFont val="Arial"/>
      </rPr>
      <t>)</t>
    </r>
  </si>
  <si>
    <r>
      <t>KSC: безопасная деинсталляция плагинов/агентов, архивирование БД/отчётов, закрытие задач и передач регулировок/политик при миграции на новую версию/сервер. (</t>
    </r>
    <r>
      <rPr>
        <u/>
        <sz val="10"/>
        <color rgb="FF000000"/>
        <rFont val="Arial"/>
      </rPr>
      <t>help.kaspersky.com</t>
    </r>
    <r>
      <rPr>
        <sz val="10"/>
        <color rgb="FF000000"/>
        <rFont val="Arial"/>
      </rPr>
      <t>)</t>
    </r>
  </si>
  <si>
    <r>
      <t>ГОСТ Р 56939-2024; справка KICS/KSC. (</t>
    </r>
    <r>
      <rPr>
        <u/>
        <sz val="10"/>
        <color rgb="FF000000"/>
        <rFont val="Arial"/>
      </rPr>
      <t>docs.cntd.ru</t>
    </r>
    <r>
      <rPr>
        <sz val="10"/>
        <color rgb="FF000000"/>
        <rFont val="Arial"/>
      </rPr>
      <t>)</t>
    </r>
  </si>
  <si>
    <t>Инициирование и планирование</t>
  </si>
  <si>
    <t>Формулируются бизнес-цели и границы системы, выявляются заинтересованные стороны; фиксируются функциональные требования и требования безопасности, критерии приёмки по ИБ и план ЖЦ. [1][2][4]</t>
  </si>
  <si>
    <t>Проектирование</t>
  </si>
  <si>
    <t>Архитектурные решения с принципами Security by Design; моделирование угроз; выбор механизмов защиты и логирования; минимизация доверенной базы и поверхностей атаки. [2][3][4]</t>
  </si>
  <si>
    <t>Разработка</t>
  </si>
  <si>
    <t>Secure coding; управление зависимостями и SBOM; SAST/secret-scan в CI; code review с фокусом на ИБ; настройка политик сборки и подписей артефактов. [2][3][5]</t>
  </si>
  <si>
    <t>Тестирование и проверка</t>
  </si>
  <si>
    <t>DAST/IAST, анализ поведения, нагрузочные и интеграционные проверки; пентест/ревизия соответствия; валидация релизов и процедур отката. [2][3][8]</t>
  </si>
  <si>
    <t>Внедрение</t>
  </si>
  <si>
    <t>Безопасная конфигурация среды (hardening), миграции и секрет-менеджмент; контроль соответствия требованиям; поэтапный выпуск/канареечные релизы. [5][8]</t>
  </si>
  <si>
    <t>Эксплуатация и сопровождение</t>
  </si>
  <si>
    <t>Непрерывный мониторинг, управление уязвимостями и патчами, инцидент-менеджмент; сбор метрик и отчётности; план улучшений. [6][7]</t>
  </si>
  <si>
    <t>Вывод из эксплуатации</t>
  </si>
  <si>
    <t>Безопасное завершение ЖЦ: архивирование и хранение артефактов, удаление/обезличивание данных, отзыв ключей и доступов, миграция/утилизация. [1]</t>
  </si>
  <si>
    <r>
      <rPr>
        <sz val="9"/>
        <rFont val="Arial"/>
      </rPr>
      <t xml:space="preserve">[1] ГОСТ Р 56939-2024 «Защита информации. Разработка безопасного программного обеспечения. Общие требования» — базовые требования ко всем этапам ЖЦ, включая вывод из эксплуатации. </t>
    </r>
    <r>
      <rPr>
        <u/>
        <sz val="9"/>
        <color rgb="FF1155CC"/>
        <rFont val="Arial"/>
      </rPr>
      <t>protect.gost.ru</t>
    </r>
  </si>
  <si>
    <r>
      <rPr>
        <sz val="9"/>
        <rFont val="Arial"/>
      </rPr>
      <t xml:space="preserve">[2] Kaspersky white paper: From code to customer: The road to making our products secure — как у Касперского организован Secure Development Lifecycle на практике. </t>
    </r>
    <r>
      <rPr>
        <u/>
        <sz val="9"/>
        <color rgb="FF1155CC"/>
        <rFont val="Arial"/>
      </rPr>
      <t>Kaspersky Media</t>
    </r>
  </si>
  <si>
    <r>
      <rPr>
        <sz val="9"/>
        <rFont val="Arial"/>
      </rPr>
      <t xml:space="preserve">[3] Kaspersky white paper: How protective software is kept safe from compromise — применяемые SDL-процедуры в разработке и сопровождении продуктов. </t>
    </r>
    <r>
      <rPr>
        <u/>
        <sz val="9"/>
        <color rgb="FF1155CC"/>
        <rFont val="Arial"/>
      </rPr>
      <t>Kaspersky Media</t>
    </r>
  </si>
  <si>
    <r>
      <rPr>
        <sz val="9"/>
        <rFont val="Arial"/>
      </rPr>
      <t xml:space="preserve">[4] Блог KasperskyOS: Process requirements: Security objectives and threat modeling — постановка целей безопасности и моделирование угроз (этап «Проектирование»). </t>
    </r>
    <r>
      <rPr>
        <u/>
        <sz val="9"/>
        <color rgb="FF1155CC"/>
        <rFont val="Arial"/>
      </rPr>
      <t>os.kaspersky.com</t>
    </r>
  </si>
  <si>
    <r>
      <rPr>
        <sz val="9"/>
        <rFont val="Arial"/>
      </rPr>
      <t xml:space="preserve">[5] Пресс-релиз Kaspersky: Kaspersky Container Security… integrates into DevSecOps and CI/CD pipelines — про внедрение ИБ-контролей в конвейеры и релизы (этапы «Разработка/Внедрение»). </t>
    </r>
    <r>
      <rPr>
        <u/>
        <sz val="9"/>
        <color rgb="FF1155CC"/>
        <rFont val="Arial"/>
      </rPr>
      <t>kaspersky.com</t>
    </r>
  </si>
  <si>
    <r>
      <rPr>
        <sz val="9"/>
        <rFont val="Arial"/>
      </rPr>
      <t xml:space="preserve">[6] Документация Kaspersky Security Center Cloud Console: Creating the “Install required updates and fix vulnerabilities” task — управление уязвимостями и патчами (этап «Эксплуатация»). </t>
    </r>
    <r>
      <rPr>
        <u/>
        <sz val="9"/>
        <color rgb="FF1155CC"/>
        <rFont val="Arial"/>
      </rPr>
      <t>support.kaspersky.com</t>
    </r>
  </si>
  <si>
    <r>
      <rPr>
        <sz val="9"/>
        <rFont val="Arial"/>
      </rPr>
      <t xml:space="preserve">[7] Документация Kaspersky Security Center Cloud Console: Fixing software vulnerabilities — мастера устранения уязвимостей, практические шаги (этап «Эксплуатация»). </t>
    </r>
    <r>
      <rPr>
        <u/>
        <sz val="9"/>
        <color rgb="FF1155CC"/>
        <rFont val="Arial"/>
      </rPr>
      <t>support.kaspersky.com</t>
    </r>
  </si>
  <si>
    <r>
      <rPr>
        <sz val="9"/>
        <rFont val="Arial"/>
      </rPr>
      <t xml:space="preserve">[8] Документация Kaspersky Security Center: Install required updates and fix vulnerabilities — task settings — тестирование обновлений на доле устройств перед тиражом (этапы «Тестирование/Внедрение»). </t>
    </r>
    <r>
      <rPr>
        <u/>
        <sz val="9"/>
        <color rgb="FF1155CC"/>
        <rFont val="Arial"/>
      </rPr>
      <t>support.kaspersky.com</t>
    </r>
  </si>
  <si>
    <r>
      <rPr>
        <sz val="9"/>
        <rFont val="Arial"/>
      </rPr>
      <t xml:space="preserve">[9] Каталог Kaspersky Enterprise Security White Papers — сводная витрина технических материалов для уточнения отдельных аспектов ЖЦ. </t>
    </r>
    <r>
      <rPr>
        <u/>
        <sz val="9"/>
        <color rgb="FF1155CC"/>
        <rFont val="Arial"/>
      </rPr>
      <t>kaspersky.com</t>
    </r>
  </si>
  <si>
    <t xml:space="preserve">           Kaspersky Endpoint Security                                   Kaspersky Industrial CyberSecurity                                  Kaspersky Security Center</t>
  </si>
  <si>
    <t>Project Management Life Cycle: 5 Project Management Phases Explained</t>
  </si>
  <si>
    <t>Централизованное управление</t>
  </si>
  <si>
    <t>Централизованное управление - те организации, в которых руководство высшего звена оставляет за собой большую часть полномочий, необходимых для принятия важнейших решений</t>
  </si>
  <si>
    <t>Основы менеджмента</t>
  </si>
  <si>
    <t>Централизованный контроль в контексте организаций означает контроль, осуществляемый центральным органом власти, таким как высшее руководство</t>
  </si>
  <si>
    <t>Centralized Control</t>
  </si>
  <si>
    <t>Коммуникативная компетентность</t>
  </si>
  <si>
    <t>Коммуникативная компетентность обычно определяется как знания, мотивация и навыки, которые позволяют человеку эффективно и уместно общаться в ситуациях коммуникации, в зависимости от контекста и отношений, в которых происходит общение.</t>
  </si>
  <si>
    <t>Shared Communication Competence: Moving Beyond the Individual in Interprofessional Communication</t>
  </si>
  <si>
    <t>Менеджеры должны обладать коммуникативной компетентностью для того, чтобы направлять экспертную работу, управлять отношениями между лидерами и последователями и вести команды</t>
  </si>
  <si>
    <t>Managers’ Technology-Mediated Communication Competence: A Theoretical Framework</t>
  </si>
  <si>
    <t>SDLC</t>
  </si>
  <si>
    <t>Жизненный цикл разработки программного обеспечения (SDLC) — это экономичный с точки зрения затрат и времени процесс, который команды разработчиков используют для проектирования и создания программного обеспечения высокого качества</t>
  </si>
  <si>
    <t>AWS article “What is SDLC? – Software Development Lifecycle Explained”</t>
  </si>
  <si>
    <t>SDLC — это хорошо структурированный процесс, который ведёт проекты разработки программного обеспечения от начала до конца. Он обеспечивает чёткую структуру для планирования, создания и сопровождения ПО, гарантируя систематичность разработки и соответствие стандартам качества</t>
  </si>
  <si>
    <t>The complete guide to SDLC</t>
  </si>
  <si>
    <t>Жизненный цикл проекта — это ряд фаз, через которые проходит проект от начала до завершения</t>
  </si>
  <si>
    <t>What is a Project Life Cycle? Exploring its 5 Phases</t>
  </si>
  <si>
    <t>Жизненный цикл проекта — это структурированная модель, которая ведёт проект от его возникновения до завершения. Он включает пять фаз: инициация, планирование, исполнение, мониторинг и закрытие</t>
  </si>
  <si>
    <t>Agile</t>
  </si>
  <si>
    <t>Команды разработчиков могут опираться на ценности и принципы Agile-манифеста (Бек и др., 2001) как основу Agile-методов, которые акцентируют итеративную разработку, инкрементальную поставку и готовность к изменениям</t>
  </si>
  <si>
    <t>What is Agile Project Management?</t>
  </si>
  <si>
    <t>Практики Agile-работы можно определить как методы управления проектом и практики командной работы, основанные на общепринятой во всём мире системе ценностей, как описано в Agile-манифесте: люди и взаимодействия важнее процессов и инструментов; работающее ПО важнее обширной документации; сотрудничество с клиентом важнее переговоров по контракту; реагирование на изменения важнее следования плану</t>
  </si>
  <si>
    <t>Relationships between Agile Work Practices and Occupational Well-Being: The Role of Job Demands and Resources</t>
  </si>
  <si>
    <t xml:space="preserve">DevOps </t>
  </si>
  <si>
    <t>DevOps делает упор на людей (и культуру) и стремится улучшить сотрудничество между командами эксплуатации (operations) и разработки (development)</t>
  </si>
  <si>
    <t>DevOps critical success factors — A systematic literature review</t>
  </si>
  <si>
    <t xml:space="preserve">DevSecOps </t>
  </si>
  <si>
    <t>DevSecOps — это процесс разработки программного обеспечения, где безопасность встроена с целью гарантировать конфиденциальность, целостность и доступность приложения</t>
  </si>
  <si>
    <t>Toward successful DevSecOps in software development organizations</t>
  </si>
  <si>
    <t>CI</t>
  </si>
  <si>
    <t>Непрерывная интеграция (CI) — это практика разработки ПО, при которой разработчики регулярно объединяют свои изменения в общий репозиторий исходного кода</t>
  </si>
  <si>
    <t>What is CI/CD?</t>
  </si>
  <si>
    <t>CD</t>
  </si>
  <si>
    <t>Непрерывная доставка и/или развертывание (CD) — это двухэтапный процесс, касающийся интеграции, тестирования и доставки изменений кода</t>
  </si>
  <si>
    <t>SAST</t>
  </si>
  <si>
    <t>Static Application Security Testing (SAST), или "white-box", инструменты анализируют исходный код или двоичные файлы и сообщают о возможных уязвимостях</t>
  </si>
  <si>
    <t>SAST, DAST, IAST and RASP</t>
  </si>
  <si>
    <t>DAST</t>
  </si>
  <si>
    <t>Dynamic Application Security Testing (DAST), также известный как "black-box", инструменты тестируют продукт во время его работы и дают обратную связь по вопросам соответствия и общей безопасности</t>
  </si>
  <si>
    <t>IAST</t>
  </si>
  <si>
    <t>Interactive Application Security Testing (IAST) использует инструментацию, которая сочетает методы динамического тестирования безопасности приложения (DAST) и статического анализа безопасности (SAST), чтобы повысить точность тестирования безопасности приложения.</t>
  </si>
  <si>
    <t>SBOM</t>
  </si>
  <si>
    <t>Перечень программных компонентов (SBOM) — это вложенный инвентарь, список “ингредиентов”, из которых состоит программное обеспечение. SBOM используется для обеспечения прозрачности цепочки поставок ПО</t>
  </si>
  <si>
    <t>SBOM FAQ</t>
  </si>
  <si>
    <t>SBOM — это формализованный, машиночитаемый перечень программных компонентов и зависимостей, необходимый для управления уязвимостями и лицензированием</t>
  </si>
  <si>
    <t>ISO/IEC 5962</t>
  </si>
  <si>
    <t>Code review</t>
  </si>
  <si>
    <t>Code review — это систематическая проверка исходного кода с целью найти и исправить ошибки, пропущенные на этапе разработки, и повысить общее качество программного обеспечения</t>
  </si>
  <si>
    <t>IEEE 1028-2008</t>
  </si>
  <si>
    <t>Ревью кода — это командный процесс, в котором разработчики проверяют код друг друга для обеспечения корректности, поддерживаемости и соответствия стандартам</t>
  </si>
  <si>
    <t>Software Engineering</t>
  </si>
  <si>
    <t>Threat Modeling</t>
  </si>
  <si>
    <t>Моделирование угроз — это процесс выявления, анализа и снижения рисков безопасности системы путём понимания возможных целей и методов атакующих</t>
  </si>
  <si>
    <t>Моделирование угроз — это структурированный подход к безопасности, который помогает командам разработки учитывать потенциальные угрозы и уязвимости с точки зрения атакующего</t>
  </si>
  <si>
    <t>OWASP Cheat Sheet Series</t>
  </si>
  <si>
    <t>PenTest (Penetration Testing)</t>
  </si>
  <si>
    <t>Пентест — это метод оценки безопасности компьютерной системы путём имитации атак со стороны злоумышленников (хакеров “black-hat”) и внутренних нарушителей</t>
  </si>
  <si>
    <t>Technical Guide to Information Security Testing and Assessment</t>
  </si>
  <si>
    <t>Пентест — это проактивная и санкционированная попытка оценки безопасности ИТ-инфраструктуры путём безопасной эксплуатации уязвимостей</t>
  </si>
  <si>
    <t>EC-Council CEH: Certified Ethical Hacker v12</t>
  </si>
  <si>
    <t>Secure SDLC</t>
  </si>
  <si>
    <t>Безопасный жизненный цикл разработки ПО (Secure SDLC) — это процесс внедрения практик безопасности на каждом этапе разработки ПО, от анализа требований до сопровождения</t>
  </si>
  <si>
    <t>Secure Software Development Framework (SSDF)</t>
  </si>
  <si>
    <t>Secure SDLC — это интеграция тестирования безопасности и управления рисками в традиционные методологии разработки, такие как Waterfall и Agile, что позволяет устранять уязвимости на ранних этапах</t>
  </si>
  <si>
    <t>Microsoft Security Development Lifecycle</t>
  </si>
  <si>
    <t>ISO/IEC 27034 (Application Security)</t>
  </si>
  <si>
    <t>ISO/IEC 27034 предоставляет основу для интеграции безопасности в процессы управления приложениями на протяжении всего их жизненного цикла.</t>
  </si>
  <si>
    <t>ISO/IEC 27034-1:2011</t>
  </si>
  <si>
    <t>Стандарт направляет организации в применении концепций, принципов и процессов безопасности к разработке, эксплуатации и сопровождению приложений.</t>
  </si>
  <si>
    <t>ISO: Global standards</t>
  </si>
  <si>
    <t>TLS</t>
  </si>
  <si>
    <t>Transport Layer Security (TLS) — это криптографический протокол, обеспечивающий сквозную защиту данных, передаваемых между приложениями через Интернет</t>
  </si>
  <si>
    <t>The Transport Layer Security (TLS) Protocol</t>
  </si>
  <si>
    <t>TLS гарантирует конфиденциальность и целостность данных между двумя взаимодействующими приложениями; широко применяется для защиты веб-трафика, электронной почты и обмена сообщениями</t>
  </si>
  <si>
    <t>CRYPTOGRAPHY AND NETWORK SECURITY</t>
  </si>
  <si>
    <t>SIEM</t>
  </si>
  <si>
    <t>Технология SIEM поддерживает обнаружение угроз, выполнение требований и управление инцидентами безопасности путём сбора и анализа событий безопасности по всей ИТ-инфраструктуре предприятия</t>
  </si>
  <si>
    <t>Magic Quadrant for Security Information and Event Management</t>
  </si>
  <si>
    <t>SIEM объединяет управление информацией безопасности (SIM) и управление событиями безопасности (SEM), обеспечивая анализ оповещений о безопасности в реальном времени</t>
  </si>
  <si>
    <t>Guide to Computer Security Log Management</t>
  </si>
  <si>
    <t>XDR</t>
  </si>
  <si>
    <t>XDR — это облачный инструмент (SaaS), предназначенный для обнаружения угроз безопасности и реагирования на инциденты; он интегрирует несколько продуктов безопасности в единую операционную систему защиты</t>
  </si>
  <si>
    <t>Extended Detection and Response (XDR)</t>
  </si>
  <si>
    <t>XDR расширяет возможности обнаружения и реагирования за пределы конечных точек, включая сети, серверы, облачные сервисы и электронную почту, предлагая целостный подход к кибербезопасности</t>
  </si>
  <si>
    <t>Introducing The Forrester New Tech: Extended Detection And Response (XDR)</t>
  </si>
  <si>
    <t>KUMA</t>
  </si>
  <si>
    <t>KUMA обеспечивает сбор, хранение и корреляцию событий информационной безопасности, формирование отчётов и панелей управления для SOC-команд</t>
  </si>
  <si>
    <t>Kaspersky Unified Monitoring and Analysis Platform</t>
  </si>
  <si>
    <t>SCADA</t>
  </si>
  <si>
    <t>SCADA — это система программных и аппаратных компонентов, которая позволяет промышленным организациям управлять процессами локально или удалённо, а также отслеживать, собирать и обрабатывать данные в реальном времени</t>
  </si>
  <si>
    <t>Security of Industrial Automation and Control Systems</t>
  </si>
  <si>
    <t>SCADA — это централизованные системы, которые контролируют и управляют целыми объектами или комплексами систем, распределённых на больших территориях (например, заводами или инфраструктурой)</t>
  </si>
  <si>
    <t>SCADA; supervisory control and data acquisition</t>
  </si>
  <si>
    <t>АСУ ТП</t>
  </si>
  <si>
    <t>АСУ ТП — это организационно-техническая система, обеспечивающая автоматизацию управления технологическими процессами на производственных объектах и позволяющая в режиме реального времени контролировать, регулировать и оптимизировать ход технологических операций</t>
  </si>
  <si>
    <t>ГОСТ 34.003-90</t>
  </si>
  <si>
    <t>Endpoint Security</t>
  </si>
  <si>
    <t>Защита конечных точек — это защита пользовательских устройств, таких как настольные компьютеры, ноутбуки и мобильные устройства, от эксплуатации злоумышленниками и вредоносными кампаниями</t>
  </si>
  <si>
    <t>What is endpoint security?</t>
  </si>
  <si>
    <t>Системы защиты конечных точек защищают устройства в сети или в облаке от киберугроз, обеспечивая антивирусную защиту, предотвращение вторжений и предотвращение утечек данных</t>
  </si>
  <si>
    <t>Palo Alto Networks Cybersecurity Academy</t>
  </si>
  <si>
    <t>KSC</t>
  </si>
  <si>
    <t>Kaspersky Security Center — это консоль централизованного управления корпоративной безопасностью, обеспечивающая автоматизацию развёртывания, обновления и администрирования решений Касперского и стороннего ПО</t>
  </si>
  <si>
    <t>Kaspersky Security Center 13</t>
  </si>
  <si>
    <t>KSC используется для мониторинга уязвимостей и инцидентов, управления политиками безопасности и контроля обновлений, сокращая время реакции на угрозы</t>
  </si>
  <si>
    <t>Kaspersky Security Center</t>
  </si>
  <si>
    <t>KICS</t>
  </si>
  <si>
    <t>Kaspersky Industrial CyberSecurity (KICS) — это комплексное решение для защиты промышленных систем управления (АСУ ТП, SCADA) от киберугроз, включающее мониторинг трафика, обнаружение аномалий и управление инцидентами</t>
  </si>
  <si>
    <t>Kaspersky Industrial CyberSecurity</t>
  </si>
  <si>
    <t>НФТ по ИБ (security requirements)</t>
  </si>
  <si>
    <t>Набор обязательных требований к безопасности (шифрование, роли, сроки закрытия уязвимостей и т. п.), которые включают в общий набор требований к ПО.</t>
  </si>
  <si>
    <r>
      <t>OWASP ASVS — стандарт требований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owasp.org</t>
    </r>
    <r>
      <rPr>
        <sz val="10"/>
        <color rgb="FF000000"/>
        <rFont val="Arial"/>
        <family val="2"/>
        <charset val="204"/>
        <scheme val="minor"/>
      </rPr>
      <t>)</t>
    </r>
  </si>
  <si>
    <t>Критерии приёмки безопасности</t>
  </si>
  <si>
    <t>Чек-лист «что должно быть выполнено, чтобы выпуск был разрешён»; ASVS можно использовать как метрику и основу для приёмки.</t>
  </si>
  <si>
    <r>
      <t>OWASP ASVS — “Use as a metric”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owasp.org</t>
    </r>
    <r>
      <rPr>
        <sz val="10"/>
        <color rgb="FF000000"/>
        <rFont val="Arial"/>
        <family val="2"/>
        <charset val="204"/>
        <scheme val="minor"/>
      </rPr>
      <t>)</t>
    </r>
  </si>
  <si>
    <t>Метрики (MTTD/MTTR)</t>
  </si>
  <si>
    <t>Показатели скорости обнаружения и устранения инцидентов (MTTD — время до обнаружения, MTTR — время до восстановления/решения).</t>
  </si>
  <si>
    <r>
      <t>Google SRE про инцидентные метрики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Google SRE</t>
    </r>
    <r>
      <rPr>
        <sz val="10"/>
        <color rgb="FF000000"/>
        <rFont val="Arial"/>
        <family val="2"/>
        <charset val="204"/>
        <scheme val="minor"/>
      </rPr>
      <t xml:space="preserve">); </t>
    </r>
    <r>
      <rPr>
        <u/>
        <sz val="10"/>
        <color rgb="FF1155CC"/>
        <rFont val="Arial"/>
        <family val="2"/>
        <charset val="204"/>
        <scheme val="minor"/>
      </rPr>
      <t>Atlassian: MTTR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Atlassian</t>
    </r>
    <r>
      <rPr>
        <sz val="10"/>
        <color rgb="FF000000"/>
        <rFont val="Arial"/>
        <family val="2"/>
        <charset val="204"/>
        <scheme val="minor"/>
      </rPr>
      <t>)</t>
    </r>
  </si>
  <si>
    <t>DFD (Data Flow Diagram)</t>
  </si>
  <si>
    <t>Схема потоков данных: элементы системы и как между ними движутся данные — база для моделирования угроз.</t>
  </si>
  <si>
    <r>
      <t>Microsoft Learn: DFD в моделировании угроз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Microsoft Learn</t>
    </r>
    <r>
      <rPr>
        <sz val="10"/>
        <color rgb="FF000000"/>
        <rFont val="Arial"/>
        <family val="2"/>
        <charset val="204"/>
        <scheme val="minor"/>
      </rPr>
      <t>)</t>
    </r>
  </si>
  <si>
    <t>Граница доверия (Trust boundary)</t>
  </si>
  <si>
    <t>Место, где меняется уровень доверия (например, из интернета во внутреннюю сеть) — тут нужен усиленный контроль.</t>
  </si>
  <si>
    <r>
      <t>Microsoft SDL: Secure by Design (определение)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Microsoft</t>
    </r>
    <r>
      <rPr>
        <sz val="10"/>
        <color rgb="FF000000"/>
        <rFont val="Arial"/>
        <family val="2"/>
        <charset val="204"/>
        <scheme val="minor"/>
      </rPr>
      <t>)</t>
    </r>
  </si>
  <si>
    <t>STRIDE</t>
  </si>
  <si>
    <t>Классификация угроз (Spoofing, Tampering, Repudiation, Information disclosure, DoS, Elevation of privilege) для системного поиска рисков.</t>
  </si>
  <si>
    <r>
      <t>Microsoft MSDN Magazine: STRIDE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Microsoft Learn</t>
    </r>
    <r>
      <rPr>
        <sz val="10"/>
        <color rgb="FF000000"/>
        <rFont val="Arial"/>
        <family val="2"/>
        <charset val="204"/>
        <scheme val="minor"/>
      </rPr>
      <t>)</t>
    </r>
  </si>
  <si>
    <t>Attack tree (дерево атаки)</t>
  </si>
  <si>
    <t>Дерево «как злоумышленник доберётся до цели»; помогает перечислить пути и контрмеры.</t>
  </si>
  <si>
    <r>
      <t>Bruce Schneier — Attack Trees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Schneier on Security</t>
    </r>
    <r>
      <rPr>
        <sz val="10"/>
        <color rgb="FF000000"/>
        <rFont val="Arial"/>
        <family val="2"/>
        <charset val="204"/>
        <scheme val="minor"/>
      </rPr>
      <t>)</t>
    </r>
  </si>
  <si>
    <t>ASVS</t>
  </si>
  <si>
    <t>Открытый стандарт требований и верификации безопасности приложений; даёт уровни и чек-листы.</t>
  </si>
  <si>
    <r>
      <t>OWASP ASVS (официально)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owasp.org</t>
    </r>
    <r>
      <rPr>
        <sz val="10"/>
        <color rgb="FF000000"/>
        <rFont val="Arial"/>
        <family val="2"/>
        <charset val="204"/>
        <scheme val="minor"/>
      </rPr>
      <t>)</t>
    </r>
  </si>
  <si>
    <t>Аутентификация</t>
  </si>
  <si>
    <t>Подтверждение «кто вы» (пароль, токен, биометрия и т. п.).</t>
  </si>
  <si>
    <r>
      <t>OWASP Authentication Cheat Sheet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cheatsheetseries.owasp.org</t>
    </r>
    <r>
      <rPr>
        <sz val="10"/>
        <color rgb="FF000000"/>
        <rFont val="Arial"/>
        <family val="2"/>
        <charset val="204"/>
        <scheme val="minor"/>
      </rPr>
      <t>)</t>
    </r>
  </si>
  <si>
    <t>Авторизация</t>
  </si>
  <si>
    <t>Определяет «что вам разрешено» после аутентификации.</t>
  </si>
  <si>
    <r>
      <t>OWASP Authorization Cheat Sheet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cheatsheetseries.owasp.org</t>
    </r>
    <r>
      <rPr>
        <sz val="10"/>
        <color rgb="FF000000"/>
        <rFont val="Arial"/>
        <family val="2"/>
        <charset val="204"/>
        <scheme val="minor"/>
      </rPr>
      <t>)</t>
    </r>
  </si>
  <si>
    <t>Криптография (at rest / in transit)</t>
  </si>
  <si>
    <t>Шифрование и подписи для защиты данных при передаче и хранении.</t>
  </si>
  <si>
    <r>
      <t>NIST SP 800-52r2 (TLS, “в транзите”)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csrc.nist.gov</t>
    </r>
    <r>
      <rPr>
        <sz val="10"/>
        <color rgb="FF000000"/>
        <rFont val="Arial"/>
        <family val="2"/>
        <charset val="204"/>
        <scheme val="minor"/>
      </rPr>
      <t xml:space="preserve">); </t>
    </r>
    <r>
      <rPr>
        <u/>
        <sz val="10"/>
        <color rgb="FF1155CC"/>
        <rFont val="Arial"/>
        <family val="2"/>
        <charset val="204"/>
        <scheme val="minor"/>
      </rPr>
      <t>NIST SP 800-175B (“на покое”)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csrc.nist.gov</t>
    </r>
    <r>
      <rPr>
        <sz val="10"/>
        <color rgb="FF000000"/>
        <rFont val="Arial"/>
        <family val="2"/>
        <charset val="204"/>
        <scheme val="minor"/>
      </rPr>
      <t>)</t>
    </r>
  </si>
  <si>
    <t>Логирование</t>
  </si>
  <si>
    <t>Сбор и хранение событий безопасности для анализа и расследований.</t>
  </si>
  <si>
    <t>OWASP Logging Cheat Sheet</t>
  </si>
  <si>
    <t>Изоляция / наименьшие привилегии</t>
  </si>
  <si>
    <t>Компоненты и процессы работают с минимально необходимыми правами и изолированы.</t>
  </si>
  <si>
    <r>
      <t>NIST SP 800-53 r5 AC-6 (Least Privilege)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csrc.nist.gov</t>
    </r>
    <r>
      <rPr>
        <sz val="10"/>
        <color rgb="FF000000"/>
        <rFont val="Arial"/>
        <family val="2"/>
        <charset val="204"/>
        <scheme val="minor"/>
      </rPr>
      <t>)</t>
    </r>
  </si>
  <si>
    <t>Secure coding</t>
  </si>
  <si>
    <t>Правила «как писать безопасно» (валидация ввода, защита секретов и т. п.).</t>
  </si>
  <si>
    <r>
      <t>OWASP Secure Coding Practices (QRG)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owasp.org</t>
    </r>
    <r>
      <rPr>
        <sz val="10"/>
        <color rgb="FF000000"/>
        <rFont val="Arial"/>
        <family val="2"/>
        <charset val="204"/>
        <scheme val="minor"/>
      </rPr>
      <t>)</t>
    </r>
  </si>
  <si>
    <t>Статический анализ кода без запуска приложения для поиска уязвимостей.</t>
  </si>
  <si>
    <r>
      <t>OWASP DevSecOps Guideline — SAST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owasp.org</t>
    </r>
    <r>
      <rPr>
        <sz val="10"/>
        <color rgb="FF000000"/>
        <rFont val="Arial"/>
        <family val="2"/>
        <charset val="204"/>
        <scheme val="minor"/>
      </rPr>
      <t>)</t>
    </r>
  </si>
  <si>
    <t>Secret scanning</t>
  </si>
  <si>
    <t>Автопоиск секретов (ключи, пароли) в репозиториях/истории.</t>
  </si>
  <si>
    <r>
      <t>GitHub Docs: About secret scanning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kaspersky.com</t>
    </r>
    <r>
      <rPr>
        <sz val="10"/>
        <color rgb="FF000000"/>
        <rFont val="Arial"/>
        <family val="2"/>
        <charset val="204"/>
        <scheme val="minor"/>
      </rPr>
      <t>)</t>
    </r>
  </si>
  <si>
    <t>«Ведомость материалов ПО» — список всех библиотек/версий для управления рисками.</t>
  </si>
  <si>
    <r>
      <t>CISA: SBOM Overview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nvlpubs.nist.gov</t>
    </r>
    <r>
      <rPr>
        <sz val="10"/>
        <color rgb="FF000000"/>
        <rFont val="Arial"/>
        <family val="2"/>
        <charset val="204"/>
        <scheme val="minor"/>
      </rPr>
      <t>)</t>
    </r>
  </si>
  <si>
    <t>Code review (с чек-листом ИБ)</t>
  </si>
  <si>
    <t>Вторая пара глаз, проверка кода по списку типовых ошибок безопасности.</t>
  </si>
  <si>
    <r>
      <t>OWASP Code Review Guide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csrc.nist.gov</t>
    </r>
    <r>
      <rPr>
        <sz val="10"/>
        <color rgb="FF000000"/>
        <rFont val="Arial"/>
        <family val="2"/>
        <charset val="204"/>
        <scheme val="minor"/>
      </rPr>
      <t>)</t>
    </r>
  </si>
  <si>
    <t>Policy/Quality gates в CI</t>
  </si>
  <si>
    <t>«Шлагбаумы» в конвейере: релиз не пройдёт, если не выполнены условия (сканы/тесты).</t>
  </si>
  <si>
    <r>
      <t>SonarQube: Quality Gates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Splunk</t>
    </r>
    <r>
      <rPr>
        <sz val="10"/>
        <color rgb="FF000000"/>
        <rFont val="Arial"/>
        <family val="2"/>
        <charset val="204"/>
        <scheme val="minor"/>
      </rPr>
      <t>)</t>
    </r>
  </si>
  <si>
    <t>CI (Continuous Integration)</t>
  </si>
  <si>
    <t>Автосборка и проверки при каждом изменении кода.</t>
  </si>
  <si>
    <r>
      <t>Atlassian: What is CI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owasp.org</t>
    </r>
    <r>
      <rPr>
        <sz val="10"/>
        <color rgb="FF000000"/>
        <rFont val="Arial"/>
        <family val="2"/>
        <charset val="204"/>
        <scheme val="minor"/>
      </rPr>
      <t>)</t>
    </r>
  </si>
  <si>
    <t>Динамическое тестирование приложений «снаружи» во время выполнения.</t>
  </si>
  <si>
    <r>
      <t>OWASP: Dynamic App Security Testing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owasp.org</t>
    </r>
    <r>
      <rPr>
        <sz val="10"/>
        <color rgb="FF000000"/>
        <rFont val="Arial"/>
        <family val="2"/>
        <charset val="204"/>
        <scheme val="minor"/>
      </rPr>
      <t>)</t>
    </r>
  </si>
  <si>
    <t>Комбинация динамики и «внутреннего» наблюдения за приложением во время тестов.</t>
  </si>
  <si>
    <r>
      <t>OWASP: IAST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NIST</t>
    </r>
    <r>
      <rPr>
        <sz val="10"/>
        <color rgb="FF000000"/>
        <rFont val="Arial"/>
        <family val="2"/>
        <charset val="204"/>
        <scheme val="minor"/>
      </rPr>
      <t>)</t>
    </r>
  </si>
  <si>
    <t>SCA</t>
  </si>
  <si>
    <t>Анализ зависимостей на известные уязвимости и лицензии.</t>
  </si>
  <si>
    <r>
      <t>OWASP: SCA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owasp.org</t>
    </r>
    <r>
      <rPr>
        <sz val="10"/>
        <color rgb="FF000000"/>
        <rFont val="Arial"/>
        <family val="2"/>
        <charset val="204"/>
        <scheme val="minor"/>
      </rPr>
      <t>)</t>
    </r>
  </si>
  <si>
    <t>Фаззинг</t>
  </si>
  <si>
    <t>Подаём много «кривых» входов, чтобы выявить сбои/уязвимости.</t>
  </si>
  <si>
    <r>
      <t>NIST IR 8151: The Art of Fuzzing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csrc.nist.gov</t>
    </r>
    <r>
      <rPr>
        <sz val="10"/>
        <color rgb="FF000000"/>
        <rFont val="Arial"/>
        <family val="2"/>
        <charset val="204"/>
        <scheme val="minor"/>
      </rPr>
      <t>)</t>
    </r>
  </si>
  <si>
    <t>Скан контейнеров</t>
  </si>
  <si>
    <t>Поиск уязвимостей/ошибок конфигурации в образах.</t>
  </si>
  <si>
    <r>
      <t>NIST SP 800-190: Container Security Guide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Codecademy</t>
    </r>
    <r>
      <rPr>
        <sz val="10"/>
        <color rgb="FF000000"/>
        <rFont val="Arial"/>
        <family val="2"/>
        <charset val="204"/>
        <scheme val="minor"/>
      </rPr>
      <t>)</t>
    </r>
  </si>
  <si>
    <t>Скан IaC</t>
  </si>
  <si>
    <t>Проверка «инфраструктуры-как-кода» на небезопасные настройки.</t>
  </si>
  <si>
    <r>
      <t>OWASP IaC Security Cheat Sheet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cheatsheetseries.owasp.org</t>
    </r>
    <r>
      <rPr>
        <sz val="10"/>
        <color rgb="FF000000"/>
        <rFont val="Arial"/>
        <family val="2"/>
        <charset val="204"/>
        <scheme val="minor"/>
      </rPr>
      <t>)</t>
    </r>
  </si>
  <si>
    <t>Пентест</t>
  </si>
  <si>
    <t>Контролируемая «атака» для проверки реальной защищённости.</t>
  </si>
  <si>
    <r>
      <t>NIST SP 800-115: Technical Guide to Pen Testing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cisa.gov</t>
    </r>
    <r>
      <rPr>
        <sz val="10"/>
        <color rgb="FF000000"/>
        <rFont val="Arial"/>
        <family val="2"/>
        <charset val="204"/>
        <scheme val="minor"/>
      </rPr>
      <t>)</t>
    </r>
  </si>
  <si>
    <t>План отката (rollback)</t>
  </si>
  <si>
    <t>Заранее прописанные шаги возврата к стабильной версии при проблемах с релизом.</t>
  </si>
  <si>
    <r>
      <t>AWS: Rollback strategy (blue/green)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Amazon Web Services, Inc.</t>
    </r>
    <r>
      <rPr>
        <sz val="10"/>
        <color rgb="FF000000"/>
        <rFont val="Arial"/>
        <family val="2"/>
        <charset val="204"/>
        <scheme val="minor"/>
      </rPr>
      <t>)</t>
    </r>
  </si>
  <si>
    <t>Hardening</t>
  </si>
  <si>
    <t>«Закалка» окружения: отключаем лишнее, закрываем порты, настраиваем безопасные политики.</t>
  </si>
  <si>
    <r>
      <t>CIS Benchmarks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CIS</t>
    </r>
    <r>
      <rPr>
        <sz val="10"/>
        <color rgb="FF000000"/>
        <rFont val="Arial"/>
        <family val="2"/>
        <charset val="204"/>
        <scheme val="minor"/>
      </rPr>
      <t>)</t>
    </r>
  </si>
  <si>
    <t>Управление секретами/ключами</t>
  </si>
  <si>
    <t>Безопасное хранение и ротация секретов/ключей вне кода.</t>
  </si>
  <si>
    <t>OWASP Secrets Management</t>
  </si>
  <si>
    <t>Подписанные сборки, происхождение</t>
  </si>
  <si>
    <t>Подпись артефактов и проверяемое происхождение сборок против подмены.</t>
  </si>
  <si>
    <r>
      <t>SLSA Framework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SLSA</t>
    </r>
    <r>
      <rPr>
        <sz val="10"/>
        <color rgb="FF000000"/>
        <rFont val="Arial"/>
        <family val="2"/>
        <charset val="204"/>
        <scheme val="minor"/>
      </rPr>
      <t>)</t>
    </r>
  </si>
  <si>
    <t>Канареечные релизы</t>
  </si>
  <si>
    <t>Выкатка на небольшой процент пользователей для снижения риска.</t>
  </si>
  <si>
    <r>
      <t>Martin Fowler: Canary Release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martinfowler.com</t>
    </r>
    <r>
      <rPr>
        <sz val="10"/>
        <color rgb="FF000000"/>
        <rFont val="Arial"/>
        <family val="2"/>
        <charset val="204"/>
        <scheme val="minor"/>
      </rPr>
      <t>)</t>
    </r>
  </si>
  <si>
    <t>Минимальные привилегии в рантайме</t>
  </si>
  <si>
    <t>Процессы и сервисы запускаются только с теми правами, которые реально нужны.</t>
  </si>
  <si>
    <r>
      <t>NIST SP 800-53 r5 AC-6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csrc.nist.gov</t>
    </r>
    <r>
      <rPr>
        <sz val="10"/>
        <color rgb="FF000000"/>
        <rFont val="Arial"/>
        <family val="2"/>
        <charset val="204"/>
        <scheme val="minor"/>
      </rPr>
      <t>)</t>
    </r>
  </si>
  <si>
    <t>Платформа агрегации/корреляции событий безопасности.</t>
  </si>
  <si>
    <r>
      <t>NIST SP 800-92 (лог-менеджмент)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csrc.nist.gov</t>
    </r>
    <r>
      <rPr>
        <sz val="10"/>
        <color rgb="FF000000"/>
        <rFont val="Arial"/>
        <family val="2"/>
        <charset val="204"/>
        <scheme val="minor"/>
      </rPr>
      <t xml:space="preserve">); </t>
    </r>
    <r>
      <rPr>
        <u/>
        <sz val="10"/>
        <color rgb="FF1155CC"/>
        <rFont val="Arial"/>
        <family val="2"/>
        <charset val="204"/>
        <scheme val="minor"/>
      </rPr>
      <t>+ Kaspersky KUMA (SIEM)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cisa.gov</t>
    </r>
    <r>
      <rPr>
        <sz val="10"/>
        <color rgb="FF000000"/>
        <rFont val="Arial"/>
        <family val="2"/>
        <charset val="204"/>
        <scheme val="minor"/>
      </rPr>
      <t>)</t>
    </r>
  </si>
  <si>
    <t>SOAR</t>
  </si>
  <si>
    <t>Автоматизация реагирования по сценариям (плейбуки).</t>
  </si>
  <si>
    <r>
      <t>NIST CSRC Glossary: SOAR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csrc.nist.gov</t>
    </r>
    <r>
      <rPr>
        <sz val="10"/>
        <color rgb="FF000000"/>
        <rFont val="Arial"/>
        <family val="2"/>
        <charset val="204"/>
        <scheme val="minor"/>
      </rPr>
      <t>)</t>
    </r>
  </si>
  <si>
    <t>Vulnerability mgmt / Patch mgmt</t>
  </si>
  <si>
    <t>Регулярное выявление уязвимостей и установка обновлений.</t>
  </si>
  <si>
    <r>
      <t>NIST SP 800-40r4: Patch Management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csrc.nist.gov</t>
    </r>
    <r>
      <rPr>
        <sz val="10"/>
        <color rgb="FF000000"/>
        <rFont val="Arial"/>
        <family val="2"/>
        <charset val="204"/>
        <scheme val="minor"/>
      </rPr>
      <t xml:space="preserve">); </t>
    </r>
    <r>
      <rPr>
        <u/>
        <sz val="10"/>
        <color rgb="FF1155CC"/>
        <rFont val="Arial"/>
        <family val="2"/>
        <charset val="204"/>
        <scheme val="minor"/>
      </rPr>
      <t>KSC: задачи «Поиск уязвимостей/Установка обновлений»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support.kaspersky.com</t>
    </r>
    <r>
      <rPr>
        <sz val="10"/>
        <color rgb="FF000000"/>
        <rFont val="Arial"/>
        <family val="2"/>
        <charset val="204"/>
        <scheme val="minor"/>
      </rPr>
      <t>)</t>
    </r>
  </si>
  <si>
    <t>Бэкапы / DR</t>
  </si>
  <si>
    <t>Резервное копирование и план восстановления после сбоев.</t>
  </si>
  <si>
    <r>
      <t>NIST SP 800-34r1: Contingency Planning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csrc.nist.gov</t>
    </r>
    <r>
      <rPr>
        <sz val="10"/>
        <color rgb="FF000000"/>
        <rFont val="Arial"/>
        <family val="2"/>
        <charset val="204"/>
        <scheme val="minor"/>
      </rPr>
      <t>)</t>
    </r>
  </si>
  <si>
    <t>SLA по патчам</t>
  </si>
  <si>
    <t>Согласованные сроки закрытия уязвимостей (например, критичные ≤7 дней).</t>
  </si>
  <si>
    <r>
      <t>NIST SP 800-40r4: рекомендации по управлению патчами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csrc.nist.gov</t>
    </r>
    <r>
      <rPr>
        <sz val="10"/>
        <color rgb="FF000000"/>
        <rFont val="Arial"/>
        <family val="2"/>
        <charset val="204"/>
        <scheme val="minor"/>
      </rPr>
      <t>)</t>
    </r>
  </si>
  <si>
    <t>Выведение из эксплуатации — удаление/обезличивание</t>
  </si>
  <si>
    <t>Безопасное стирание/уничтожение носителей, де-идентификация данных.</t>
  </si>
  <si>
    <r>
      <t>NIST SP 800-88r1 (санитизация носителей)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csrc.nist.gov</t>
    </r>
    <r>
      <rPr>
        <sz val="10"/>
        <color rgb="FF000000"/>
        <rFont val="Arial"/>
        <family val="2"/>
        <charset val="204"/>
        <scheme val="minor"/>
      </rPr>
      <t>)</t>
    </r>
  </si>
  <si>
    <t>Отзыв токенов/ключей</t>
  </si>
  <si>
    <t>Прекращение действия ключей/токенов при выводе системы.</t>
  </si>
  <si>
    <r>
      <t>NIST SP 800-57 Pt.1 (жизненный цикл ключей)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nvlpubs.nist.gov</t>
    </r>
    <r>
      <rPr>
        <sz val="10"/>
        <color rgb="FF000000"/>
        <rFont val="Arial"/>
        <family val="2"/>
        <charset val="204"/>
        <scheme val="minor"/>
      </rPr>
      <t>)</t>
    </r>
  </si>
  <si>
    <t>Архив артефактов/логов</t>
  </si>
  <si>
    <t>Хранение артефактов и журналов для аудита и расследований.</t>
  </si>
  <si>
    <r>
      <t>NIST SP 800-92 (лог-менеджмент)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csrc.nist.gov</t>
    </r>
    <r>
      <rPr>
        <sz val="10"/>
        <color rgb="FF000000"/>
        <rFont val="Arial"/>
        <family val="2"/>
        <charset val="204"/>
        <scheme val="minor"/>
      </rPr>
      <t>)</t>
    </r>
  </si>
  <si>
    <t>Миграция пользователей/политик, отзыв доступов</t>
  </si>
  <si>
    <t>Корректное снятие прав и перенос политик при выводе старой системы.</t>
  </si>
  <si>
    <r>
      <t>NIST SP 800-53 r5 AC-2 (управление учётными записями)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csf.tools</t>
    </r>
    <r>
      <rPr>
        <sz val="10"/>
        <color rgb="FF000000"/>
        <rFont val="Arial"/>
        <family val="2"/>
        <charset val="204"/>
        <scheme val="minor"/>
      </rPr>
      <t>)</t>
    </r>
  </si>
  <si>
    <t>Финальный отчёт по рискам</t>
  </si>
  <si>
    <t>Подтверждает закрытие рисков и итоги жизненного цикла.</t>
  </si>
  <si>
    <r>
      <t>NIST SP 800-30 (Risk Management Guide)</t>
    </r>
    <r>
      <rPr>
        <sz val="10"/>
        <color rgb="FF000000"/>
        <rFont val="Arial"/>
        <family val="2"/>
        <charset val="204"/>
        <scheme val="minor"/>
      </rPr>
      <t xml:space="preserve"> (</t>
    </r>
    <r>
      <rPr>
        <u/>
        <sz val="10"/>
        <color rgb="FF1155CC"/>
        <rFont val="Arial"/>
        <family val="2"/>
        <charset val="204"/>
        <scheme val="minor"/>
      </rPr>
      <t>GitHub</t>
    </r>
    <r>
      <rPr>
        <sz val="10"/>
        <color rgb="FF000000"/>
        <rFont val="Arial"/>
        <family val="2"/>
        <charset val="204"/>
        <scheme val="minor"/>
      </rPr>
      <t>)</t>
    </r>
  </si>
  <si>
    <t>БРПО (безопасная разработка программного обеспечения)</t>
  </si>
  <si>
    <t>Организация и выполнение процессов разработки ПО, при которой требования безопасности устанавливаются и обеспечиваются на всех этапах жизненного цикла — от планирования и проектирования до тестирования, внедрения, эксплуатации и вывода из эксплуатации.</t>
  </si>
  <si>
    <t>ГОСТ Р 56939-2024 «Защита информации. Разработка безопасного программного обеспечения. Общие требования»</t>
  </si>
  <si>
    <t>Работа над вкладкой БРПО</t>
  </si>
  <si>
    <t>Сбор информации о проектах других компаний</t>
  </si>
  <si>
    <t>Анализ устройства проектов в других компаниях</t>
  </si>
  <si>
    <t>1) Совокупность взаимодействий внутри группы, определяющих её развитие и эффективность. 2) Научное изучение природы групп, законов их развития и влияния на индивидов. 3) Изучение закономерностей поведения членов группы и изменений в их взаимодействии в процессе совместной деятельности.</t>
  </si>
  <si>
    <t>Lewin K., 1951; Shaw M.E., 1971; Петровский А.В., 1979</t>
  </si>
  <si>
    <t>Метрики командной динамики</t>
  </si>
  <si>
    <t>1) Показатели эффективности работы команды и взаимодействия её участников. 2) Количественные или качественные измерения выполнения задач, коммуникации и доверия. 3) Средства анализа проблемных зон в коллективной работе и улучшения взаимодействия.</t>
  </si>
  <si>
    <t>Katzenbach J.R., Smith D.K., 1993; Robbins S.P., Judge T.A., 2019</t>
  </si>
  <si>
    <t>Эффективность команды</t>
  </si>
  <si>
    <t>1) Степень достижения командой целей в рамках сроков и ресурсов. 2) Комбинация качества выполнения задач, соблюдения сроков и уровня взаимодействия участников. 3) Показатель успешности командной работы и её влияния на проектные результаты.</t>
  </si>
  <si>
    <t>Hackman J.R., 2002; Shaw M.E., 1971</t>
  </si>
  <si>
    <t>Скорость выполнения задач</t>
  </si>
  <si>
    <t>1) Процент выполненных задач за определённый период. 2) Показатель производительности команды или отдельного участника. 3) Метрика своевременности и организованности работы.</t>
  </si>
  <si>
    <t>PMBOK Guide, 2021; Kerzner H., 2017</t>
  </si>
  <si>
    <t>Уровень коммуникации</t>
  </si>
  <si>
    <t>1) Степень обмена информацией между членами команды. 2) Показатель прозрачности взаимодействия и качества совместной работы. 3) Метрика, влияющая на согласованность действий и предотвращение недопониманий.</t>
  </si>
  <si>
    <t>Robbins S.P., Judge T.A., 2019; Tuckman B.W., 1965</t>
  </si>
  <si>
    <t>Вовлеченность участников</t>
  </si>
  <si>
    <t>1) Степень активности и участия членов команды в совместной работе. 2) Показатель мотивации и заинтересованности в достижении общих целей. 3) Метрика, влияющая на сплочённость группы и качество результатов.</t>
  </si>
  <si>
    <t>Saks A.M., 2006; Hackman J.R., 2002</t>
  </si>
  <si>
    <t>Уровень доверия</t>
  </si>
  <si>
    <t>1) Степень уверенности участников в компетентности и надежности друг друга. 2) Ключевой фактор эффективного взаимодействия и принятия решений. 3) Метрика, отражающая психологическую безопасность в команде.</t>
  </si>
  <si>
    <t>Edmondson A., 1999; Robbins S.P., Judge T.A., 2019</t>
  </si>
  <si>
    <t>Конфликты в команде</t>
  </si>
  <si>
    <t>1) Разногласия и противоречия между участниками при совместной деятельности. 2) Показатель проблемных зон во взаимодействии, требующих разрешения. 3) Источник возможных улучшений через конструктивное разрешение.</t>
  </si>
  <si>
    <t>Thomas K.W., Kilmann R.H., 1974; Rahim M.A., 2002</t>
  </si>
  <si>
    <t>1) Последовательность этапов разработки проекта от планирования до завершения. 2) Модель управления проектом, включающая планирование, проектирование, разработку, тестирование и развертывание. 3) Позволяет структурировать работу команды и контролировать прогресс проекта.</t>
  </si>
  <si>
    <t>PMBOK Guide, 2021; Schwalbe K., 2020</t>
  </si>
  <si>
    <t>Agile / Scrum / Kanban</t>
  </si>
  <si>
    <t>1) Agile — гибкий подход к управлению проектами через итерации и адаптацию. 2) Scrum — фреймворк Agile с короткими спринтами и коллективной ответственностью. 3) Kanban — метод визуализации потока задач для оптимизации работы команды.</t>
  </si>
  <si>
    <t>Beck K. et al., 2001; Schwaber K., Sutherland J., 2020</t>
  </si>
  <si>
    <t>Контроль качества</t>
  </si>
  <si>
    <t>1) Мероприятия по обеспечению соответствия продукта требованиям и стандартам. 2) Проверка, тестирование и мониторинг процессов для достижения стабильного качества. 3) Постоянное улучшение процессов и повышение удовлетворенности клиентов.</t>
  </si>
  <si>
    <t>ISO 9001:2015; Juran J.M., 2010</t>
  </si>
  <si>
    <t>Риски проекта</t>
  </si>
  <si>
    <t>1) Возможные события, негативно влияющие на цели проекта. 2) Внутренние и внешние факторы, способные вызвать задержки, перерасход ресурсов или снижение качества. 3) Требуют оценки вероятности и тяжести последствий для принятия мер минимизации.</t>
  </si>
  <si>
    <t>PMBOK Guide, 2021; Hillson D., 2009</t>
  </si>
  <si>
    <t>Организация git-репозитория команды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</si>
</sst>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\.mm\.yyyy"/>
    <numFmt numFmtId="165" formatCode="dd\.mm"/>
  </numFmts>
  <fonts count="56">
    <font>
      <sz val="10"/>
      <color rgb="FF000000"/>
      <name val="Arial"/>
      <scheme val="minor"/>
    </font>
    <font>
      <sz val="11"/>
      <color theme="1"/>
      <name val="Arial"/>
      <family val="2"/>
      <charset val="204"/>
      <scheme val="minor"/>
    </font>
    <font>
      <b/>
      <sz val="27"/>
      <color theme="1"/>
      <name val="Arial"/>
      <family val="2"/>
      <charset val="204"/>
      <scheme val="minor"/>
    </font>
    <font>
      <b/>
      <sz val="12"/>
      <color theme="1"/>
      <name val="Arial"/>
      <family val="2"/>
      <charset val="204"/>
      <scheme val="minor"/>
    </font>
    <font>
      <sz val="10"/>
      <name val="Arial"/>
      <family val="2"/>
      <charset val="204"/>
    </font>
    <font>
      <sz val="10"/>
      <color theme="1"/>
      <name val="Arial"/>
      <family val="2"/>
      <charset val="204"/>
      <scheme val="minor"/>
    </font>
    <font>
      <sz val="28"/>
      <color theme="1"/>
      <name val="Arial"/>
      <family val="2"/>
      <charset val="204"/>
      <scheme val="minor"/>
    </font>
    <font>
      <sz val="10"/>
      <color theme="1"/>
      <name val="Arial"/>
      <family val="2"/>
      <charset val="204"/>
    </font>
    <font>
      <sz val="11"/>
      <color theme="1"/>
      <name val="Arial"/>
      <family val="2"/>
      <charset val="204"/>
      <scheme val="minor"/>
    </font>
    <font>
      <b/>
      <sz val="13"/>
      <color theme="1"/>
      <name val="Arial"/>
      <family val="2"/>
      <charset val="204"/>
      <scheme val="minor"/>
    </font>
    <font>
      <b/>
      <sz val="11"/>
      <color theme="1"/>
      <name val="Arial"/>
      <family val="2"/>
      <charset val="204"/>
      <scheme val="minor"/>
    </font>
    <font>
      <sz val="11"/>
      <color theme="1"/>
      <name val="Arial"/>
      <family val="2"/>
      <charset val="204"/>
    </font>
    <font>
      <b/>
      <sz val="10"/>
      <color theme="1"/>
      <name val="Arial"/>
      <family val="2"/>
      <charset val="204"/>
      <scheme val="minor"/>
    </font>
    <font>
      <sz val="13"/>
      <color theme="1"/>
      <name val="Arial"/>
      <family val="2"/>
      <charset val="204"/>
      <scheme val="minor"/>
    </font>
    <font>
      <b/>
      <sz val="33"/>
      <color theme="1"/>
      <name val="Arial"/>
      <family val="2"/>
      <charset val="204"/>
      <scheme val="minor"/>
    </font>
    <font>
      <b/>
      <sz val="17"/>
      <color theme="1"/>
      <name val="Arial"/>
      <family val="2"/>
      <charset val="204"/>
      <scheme val="minor"/>
    </font>
    <font>
      <u/>
      <sz val="10"/>
      <color rgb="FF0000FF"/>
      <name val="Arial"/>
      <family val="2"/>
      <charset val="204"/>
    </font>
    <font>
      <sz val="10"/>
      <color theme="1"/>
      <name val="Bahnschrift"/>
      <family val="2"/>
    </font>
    <font>
      <b/>
      <sz val="16"/>
      <color theme="0"/>
      <name val="Bahnschrift"/>
      <family val="2"/>
    </font>
    <font>
      <b/>
      <sz val="10"/>
      <color theme="0"/>
      <name val="Bahnschrift"/>
      <family val="2"/>
      <charset val="204"/>
    </font>
    <font>
      <u/>
      <sz val="10"/>
      <color theme="10"/>
      <name val="Arial"/>
      <family val="2"/>
      <charset val="204"/>
      <scheme val="minor"/>
    </font>
    <font>
      <b/>
      <sz val="10"/>
      <color rgb="FF000000"/>
      <name val="Arial"/>
      <family val="2"/>
      <charset val="204"/>
      <scheme val="minor"/>
    </font>
    <font>
      <sz val="10"/>
      <color rgb="FF000000"/>
      <name val="Arial"/>
      <scheme val="minor"/>
    </font>
    <font>
      <b/>
      <sz val="23"/>
      <color rgb="FFFFFFFF"/>
      <name val="Arial"/>
      <scheme val="minor"/>
    </font>
    <font>
      <sz val="10"/>
      <name val="Arial"/>
    </font>
    <font>
      <sz val="10"/>
      <color theme="1"/>
      <name val="Arial"/>
      <scheme val="minor"/>
    </font>
    <font>
      <b/>
      <sz val="17"/>
      <color rgb="FFFFFFFF"/>
      <name val="&quot;Times New Roman&quot;"/>
    </font>
    <font>
      <b/>
      <sz val="10"/>
      <color theme="1"/>
      <name val="Arial"/>
      <scheme val="minor"/>
    </font>
    <font>
      <b/>
      <sz val="11"/>
      <color rgb="FFFFFFFF"/>
      <name val="Arial"/>
      <scheme val="minor"/>
    </font>
    <font>
      <u/>
      <sz val="10"/>
      <color rgb="FF0000FF"/>
      <name val="Roboto"/>
    </font>
    <font>
      <u/>
      <sz val="10"/>
      <color rgb="FF1155CC"/>
      <name val="Arial"/>
    </font>
    <font>
      <b/>
      <u/>
      <sz val="9"/>
      <color rgb="FFFFFFFF"/>
      <name val="Arial"/>
    </font>
    <font>
      <b/>
      <sz val="9"/>
      <color rgb="FFFFFFFF"/>
      <name val="Arial"/>
    </font>
    <font>
      <sz val="13"/>
      <color theme="1"/>
      <name val="Roboto"/>
    </font>
    <font>
      <b/>
      <sz val="13"/>
      <color theme="1"/>
      <name val="Roboto"/>
    </font>
    <font>
      <b/>
      <i/>
      <sz val="10"/>
      <color theme="1"/>
      <name val="Arial"/>
      <scheme val="minor"/>
    </font>
    <font>
      <b/>
      <sz val="10"/>
      <color rgb="FF000000"/>
      <name val="Arial"/>
      <scheme val="minor"/>
    </font>
    <font>
      <u/>
      <sz val="10"/>
      <color rgb="FF000000"/>
      <name val="Roboto"/>
    </font>
    <font>
      <u/>
      <sz val="10"/>
      <color rgb="FF000000"/>
      <name val="Arial"/>
    </font>
    <font>
      <sz val="10"/>
      <color rgb="FF000000"/>
      <name val="Arial"/>
    </font>
    <font>
      <sz val="10"/>
      <color rgb="FF000000"/>
      <name val="Roboto"/>
    </font>
    <font>
      <sz val="10"/>
      <color theme="1"/>
      <name val="Roboto"/>
    </font>
    <font>
      <u/>
      <sz val="9"/>
      <color rgb="FF0000FF"/>
      <name val="Arial"/>
    </font>
    <font>
      <sz val="9"/>
      <name val="Arial"/>
    </font>
    <font>
      <u/>
      <sz val="9"/>
      <color rgb="FF1155CC"/>
      <name val="Arial"/>
    </font>
    <font>
      <b/>
      <sz val="12"/>
      <color rgb="FFFFFFFF"/>
      <name val="Arial"/>
      <scheme val="minor"/>
    </font>
    <font>
      <sz val="8"/>
      <color rgb="FFFFFFFF"/>
      <name val="Arial"/>
      <scheme val="minor"/>
    </font>
    <font>
      <sz val="10"/>
      <color rgb="FFFFFFFF"/>
      <name val="Arial"/>
      <scheme val="minor"/>
    </font>
    <font>
      <b/>
      <sz val="18"/>
      <color rgb="FFFFFFFF"/>
      <name val="Arial"/>
      <family val="2"/>
      <charset val="204"/>
      <scheme val="minor"/>
    </font>
    <font>
      <u/>
      <sz val="9"/>
      <color rgb="FF0000FF"/>
      <name val="Arial"/>
      <family val="2"/>
      <charset val="204"/>
    </font>
    <font>
      <sz val="10"/>
      <color rgb="FF000000"/>
      <name val="Arial"/>
      <family val="2"/>
      <charset val="204"/>
      <scheme val="minor"/>
    </font>
    <font>
      <u/>
      <sz val="10"/>
      <color rgb="FF0000FF"/>
      <name val="&quot;Open Sans&quot;"/>
    </font>
    <font>
      <u/>
      <sz val="10"/>
      <color rgb="FF0000FF"/>
      <name val="&quot;Merriweather Sans&quot;"/>
    </font>
    <font>
      <u/>
      <sz val="10"/>
      <color rgb="FF1155CC"/>
      <name val="Arial"/>
      <family val="2"/>
      <charset val="204"/>
      <scheme val="minor"/>
    </font>
    <font>
      <b/>
      <sz val="10"/>
      <name val="Arial"/>
      <family val="2"/>
      <charset val="204"/>
    </font>
    <font>
      <u/>
      <sz val="10"/>
      <color theme="4" tint="-0.249977111117893"/>
      <name val="Arial"/>
      <family val="2"/>
      <charset val="204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F9CB9C"/>
        <bgColor rgb="FFF9CB9C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3C4650"/>
        <bgColor indexed="64"/>
      </patternFill>
    </fill>
    <fill>
      <patternFill patternType="solid">
        <fgColor rgb="FF28323C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rgb="FFD9D2E9"/>
      </patternFill>
    </fill>
    <fill>
      <patternFill patternType="solid">
        <fgColor theme="0"/>
        <bgColor rgb="FFD9D2E9"/>
      </patternFill>
    </fill>
    <fill>
      <patternFill patternType="solid">
        <fgColor theme="8" tint="0.59999389629810485"/>
        <bgColor rgb="FFD9D2E9"/>
      </patternFill>
    </fill>
    <fill>
      <patternFill patternType="solid">
        <fgColor rgb="FFEAD1DC"/>
        <bgColor rgb="FFD9D2E9"/>
      </patternFill>
    </fill>
    <fill>
      <patternFill patternType="solid">
        <fgColor theme="4" tint="0.59999389629810485"/>
        <bgColor indexed="64"/>
      </patternFill>
    </fill>
  </fills>
  <borders count="2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rgb="FFFFFFFF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3">
    <xf numFmtId="0" fontId="0" fillId="0" borderId="0"/>
    <xf numFmtId="0" fontId="20" fillId="0" borderId="0" applyNumberFormat="0" applyFill="0" applyBorder="0" applyAlignment="0" applyProtection="0"/>
    <xf numFmtId="0" fontId="50" fillId="0" borderId="0"/>
  </cellStyleXfs>
  <cellXfs count="136">
    <xf numFmtId="0" fontId="0" fillId="0" borderId="0" xfId="0"/>
    <xf numFmtId="0" fontId="3" fillId="0" borderId="0" xfId="0" applyFont="1" applyAlignment="1">
      <alignment horizontal="center" vertical="center"/>
    </xf>
    <xf numFmtId="0" fontId="5" fillId="0" borderId="3" xfId="0" applyFont="1" applyBorder="1" applyAlignment="1">
      <alignment horizontal="center"/>
    </xf>
    <xf numFmtId="164" fontId="5" fillId="0" borderId="3" xfId="0" applyNumberFormat="1" applyFont="1" applyBorder="1" applyAlignment="1">
      <alignment horizontal="center"/>
    </xf>
    <xf numFmtId="0" fontId="7" fillId="0" borderId="0" xfId="0" applyFont="1"/>
    <xf numFmtId="0" fontId="8" fillId="0" borderId="3" xfId="0" applyFont="1" applyBorder="1"/>
    <xf numFmtId="0" fontId="9" fillId="0" borderId="3" xfId="0" applyFont="1" applyBorder="1" applyAlignment="1">
      <alignment horizontal="center" vertical="center" textRotation="90"/>
    </xf>
    <xf numFmtId="165" fontId="9" fillId="0" borderId="3" xfId="0" applyNumberFormat="1" applyFont="1" applyBorder="1" applyAlignment="1">
      <alignment horizontal="center" vertical="center" textRotation="90"/>
    </xf>
    <xf numFmtId="165" fontId="5" fillId="0" borderId="0" xfId="0" applyNumberFormat="1" applyFont="1" applyAlignment="1">
      <alignment textRotation="90"/>
    </xf>
    <xf numFmtId="0" fontId="10" fillId="0" borderId="3" xfId="0" applyFont="1" applyBorder="1" applyAlignment="1">
      <alignment vertical="center"/>
    </xf>
    <xf numFmtId="0" fontId="8" fillId="2" borderId="3" xfId="0" applyFont="1" applyFill="1" applyBorder="1"/>
    <xf numFmtId="0" fontId="11" fillId="0" borderId="3" xfId="0" applyFont="1" applyBorder="1"/>
    <xf numFmtId="0" fontId="8" fillId="3" borderId="3" xfId="0" applyFont="1" applyFill="1" applyBorder="1"/>
    <xf numFmtId="0" fontId="8" fillId="4" borderId="3" xfId="0" applyFont="1" applyFill="1" applyBorder="1"/>
    <xf numFmtId="0" fontId="8" fillId="5" borderId="3" xfId="0" applyFont="1" applyFill="1" applyBorder="1"/>
    <xf numFmtId="0" fontId="8" fillId="6" borderId="3" xfId="0" applyFont="1" applyFill="1" applyBorder="1"/>
    <xf numFmtId="0" fontId="8" fillId="7" borderId="3" xfId="0" applyFont="1" applyFill="1" applyBorder="1"/>
    <xf numFmtId="0" fontId="12" fillId="0" borderId="0" xfId="0" applyFont="1"/>
    <xf numFmtId="0" fontId="5" fillId="0" borderId="0" xfId="0" applyFont="1" applyAlignment="1">
      <alignment horizontal="center"/>
    </xf>
    <xf numFmtId="0" fontId="13" fillId="0" borderId="6" xfId="0" applyFont="1" applyBorder="1"/>
    <xf numFmtId="0" fontId="13" fillId="0" borderId="7" xfId="0" applyFont="1" applyBorder="1" applyAlignment="1">
      <alignment horizontal="center"/>
    </xf>
    <xf numFmtId="0" fontId="13" fillId="0" borderId="4" xfId="0" applyFont="1" applyBorder="1"/>
    <xf numFmtId="0" fontId="13" fillId="0" borderId="5" xfId="0" applyFont="1" applyBorder="1" applyAlignment="1">
      <alignment horizontal="center"/>
    </xf>
    <xf numFmtId="0" fontId="5" fillId="0" borderId="0" xfId="0" applyFont="1"/>
    <xf numFmtId="14" fontId="0" fillId="0" borderId="0" xfId="0" applyNumberFormat="1"/>
    <xf numFmtId="0" fontId="17" fillId="8" borderId="0" xfId="0" applyFont="1" applyFill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18" fillId="9" borderId="0" xfId="0" applyFont="1" applyFill="1" applyAlignment="1">
      <alignment horizontal="left" vertical="center"/>
    </xf>
    <xf numFmtId="0" fontId="19" fillId="9" borderId="0" xfId="0" applyFont="1" applyFill="1" applyAlignment="1">
      <alignment horizontal="right" vertical="center"/>
    </xf>
    <xf numFmtId="0" fontId="19" fillId="9" borderId="0" xfId="0" applyFont="1" applyFill="1" applyAlignment="1">
      <alignment horizontal="center" vertical="center"/>
    </xf>
    <xf numFmtId="0" fontId="0" fillId="8" borderId="0" xfId="0" applyFill="1"/>
    <xf numFmtId="0" fontId="21" fillId="0" borderId="0" xfId="0" applyFont="1"/>
    <xf numFmtId="0" fontId="20" fillId="0" borderId="0" xfId="1"/>
    <xf numFmtId="0" fontId="8" fillId="10" borderId="3" xfId="0" applyFont="1" applyFill="1" applyBorder="1"/>
    <xf numFmtId="0" fontId="8" fillId="11" borderId="3" xfId="0" applyFont="1" applyFill="1" applyBorder="1"/>
    <xf numFmtId="0" fontId="8" fillId="12" borderId="3" xfId="0" applyFont="1" applyFill="1" applyBorder="1"/>
    <xf numFmtId="0" fontId="8" fillId="13" borderId="3" xfId="0" applyFont="1" applyFill="1" applyBorder="1"/>
    <xf numFmtId="14" fontId="18" fillId="9" borderId="0" xfId="0" applyNumberFormat="1" applyFont="1" applyFill="1" applyAlignment="1">
      <alignment horizontal="center" vertical="center"/>
    </xf>
    <xf numFmtId="0" fontId="25" fillId="0" borderId="0" xfId="0" applyFont="1" applyAlignment="1">
      <alignment wrapText="1"/>
    </xf>
    <xf numFmtId="0" fontId="27" fillId="0" borderId="3" xfId="0" applyFont="1" applyBorder="1" applyAlignment="1">
      <alignment horizontal="left" vertical="center" wrapText="1"/>
    </xf>
    <xf numFmtId="0" fontId="28" fillId="14" borderId="3" xfId="0" applyFont="1" applyFill="1" applyBorder="1" applyAlignment="1">
      <alignment horizontal="left" vertical="center" wrapText="1"/>
    </xf>
    <xf numFmtId="0" fontId="22" fillId="0" borderId="3" xfId="0" applyFont="1" applyBorder="1" applyAlignment="1">
      <alignment horizontal="left" vertical="center" wrapText="1"/>
    </xf>
    <xf numFmtId="0" fontId="29" fillId="0" borderId="3" xfId="0" applyFont="1" applyBorder="1" applyAlignment="1">
      <alignment horizontal="left" vertical="center" wrapText="1"/>
    </xf>
    <xf numFmtId="0" fontId="25" fillId="0" borderId="0" xfId="0" applyFont="1" applyAlignment="1">
      <alignment horizontal="left" wrapText="1"/>
    </xf>
    <xf numFmtId="0" fontId="35" fillId="0" borderId="0" xfId="0" applyFont="1" applyAlignment="1">
      <alignment horizontal="left" wrapText="1"/>
    </xf>
    <xf numFmtId="0" fontId="25" fillId="0" borderId="3" xfId="0" applyFont="1" applyBorder="1" applyAlignment="1">
      <alignment horizontal="left" vertical="center" wrapText="1"/>
    </xf>
    <xf numFmtId="0" fontId="36" fillId="0" borderId="3" xfId="0" applyFont="1" applyBorder="1" applyAlignment="1">
      <alignment vertical="center" wrapText="1"/>
    </xf>
    <xf numFmtId="0" fontId="37" fillId="0" borderId="3" xfId="0" applyFont="1" applyBorder="1" applyAlignment="1">
      <alignment vertical="center" wrapText="1"/>
    </xf>
    <xf numFmtId="0" fontId="27" fillId="0" borderId="18" xfId="0" applyFont="1" applyBorder="1" applyAlignment="1">
      <alignment horizontal="left" vertical="center" wrapText="1"/>
    </xf>
    <xf numFmtId="0" fontId="27" fillId="0" borderId="19" xfId="0" applyFont="1" applyBorder="1" applyAlignment="1">
      <alignment horizontal="left" vertical="center" wrapText="1"/>
    </xf>
    <xf numFmtId="0" fontId="40" fillId="0" borderId="20" xfId="0" applyFont="1" applyBorder="1" applyAlignment="1">
      <alignment vertical="center" wrapText="1"/>
    </xf>
    <xf numFmtId="0" fontId="41" fillId="0" borderId="0" xfId="0" applyFont="1" applyAlignment="1">
      <alignment wrapText="1"/>
    </xf>
    <xf numFmtId="0" fontId="45" fillId="0" borderId="0" xfId="0" applyFont="1" applyAlignment="1">
      <alignment horizontal="center" vertical="center"/>
    </xf>
    <xf numFmtId="0" fontId="45" fillId="0" borderId="22" xfId="0" applyFont="1" applyBorder="1" applyAlignment="1">
      <alignment horizontal="center" vertical="center"/>
    </xf>
    <xf numFmtId="0" fontId="46" fillId="0" borderId="0" xfId="0" applyFont="1" applyAlignment="1">
      <alignment horizontal="center"/>
    </xf>
    <xf numFmtId="0" fontId="46" fillId="0" borderId="22" xfId="0" applyFont="1" applyBorder="1" applyAlignment="1">
      <alignment horizontal="center"/>
    </xf>
    <xf numFmtId="0" fontId="47" fillId="0" borderId="0" xfId="0" applyFont="1"/>
    <xf numFmtId="0" fontId="25" fillId="15" borderId="0" xfId="0" applyFont="1" applyFill="1"/>
    <xf numFmtId="0" fontId="0" fillId="0" borderId="0" xfId="0" applyAlignment="1">
      <alignment wrapText="1"/>
    </xf>
    <xf numFmtId="0" fontId="50" fillId="0" borderId="0" xfId="2"/>
    <xf numFmtId="0" fontId="15" fillId="0" borderId="11" xfId="2" applyFont="1" applyBorder="1" applyAlignment="1">
      <alignment horizontal="center" vertical="center"/>
    </xf>
    <xf numFmtId="0" fontId="5" fillId="0" borderId="12" xfId="2" applyFont="1" applyBorder="1"/>
    <xf numFmtId="0" fontId="16" fillId="0" borderId="12" xfId="2" applyFont="1" applyBorder="1"/>
    <xf numFmtId="0" fontId="5" fillId="0" borderId="3" xfId="2" applyFont="1" applyBorder="1"/>
    <xf numFmtId="0" fontId="16" fillId="0" borderId="3" xfId="2" applyFont="1" applyBorder="1"/>
    <xf numFmtId="0" fontId="5" fillId="0" borderId="0" xfId="2" applyFont="1"/>
    <xf numFmtId="0" fontId="51" fillId="15" borderId="3" xfId="2" applyFont="1" applyFill="1" applyBorder="1"/>
    <xf numFmtId="0" fontId="52" fillId="0" borderId="3" xfId="2" applyFont="1" applyBorder="1"/>
    <xf numFmtId="0" fontId="16" fillId="15" borderId="3" xfId="2" applyFont="1" applyFill="1" applyBorder="1" applyAlignment="1">
      <alignment horizontal="left"/>
    </xf>
    <xf numFmtId="0" fontId="16" fillId="15" borderId="3" xfId="2" applyFont="1" applyFill="1" applyBorder="1"/>
    <xf numFmtId="0" fontId="5" fillId="0" borderId="23" xfId="2" applyFont="1" applyBorder="1"/>
    <xf numFmtId="0" fontId="16" fillId="0" borderId="23" xfId="2" applyFont="1" applyBorder="1"/>
    <xf numFmtId="0" fontId="50" fillId="0" borderId="21" xfId="0" applyFont="1" applyBorder="1" applyAlignment="1">
      <alignment wrapText="1"/>
    </xf>
    <xf numFmtId="0" fontId="53" fillId="0" borderId="21" xfId="0" applyFont="1" applyBorder="1" applyAlignment="1">
      <alignment wrapText="1"/>
    </xf>
    <xf numFmtId="0" fontId="20" fillId="0" borderId="21" xfId="1" applyBorder="1" applyAlignment="1">
      <alignment wrapText="1"/>
    </xf>
    <xf numFmtId="0" fontId="53" fillId="0" borderId="21" xfId="0" applyFont="1" applyBorder="1" applyAlignment="1">
      <alignment vertical="center"/>
    </xf>
    <xf numFmtId="0" fontId="20" fillId="0" borderId="21" xfId="1" applyBorder="1" applyAlignment="1">
      <alignment vertical="center"/>
    </xf>
    <xf numFmtId="0" fontId="8" fillId="17" borderId="3" xfId="0" applyFont="1" applyFill="1" applyBorder="1"/>
    <xf numFmtId="0" fontId="1" fillId="20" borderId="3" xfId="0" applyFont="1" applyFill="1" applyBorder="1"/>
    <xf numFmtId="0" fontId="8" fillId="21" borderId="3" xfId="0" applyFont="1" applyFill="1" applyBorder="1"/>
    <xf numFmtId="0" fontId="8" fillId="16" borderId="3" xfId="0" applyFont="1" applyFill="1" applyBorder="1"/>
    <xf numFmtId="0" fontId="1" fillId="22" borderId="3" xfId="0" applyFont="1" applyFill="1" applyBorder="1"/>
    <xf numFmtId="0" fontId="1" fillId="23" borderId="3" xfId="0" applyFont="1" applyFill="1" applyBorder="1"/>
    <xf numFmtId="0" fontId="12" fillId="19" borderId="12" xfId="2" applyFont="1" applyFill="1" applyBorder="1"/>
    <xf numFmtId="0" fontId="12" fillId="19" borderId="3" xfId="2" applyFont="1" applyFill="1" applyBorder="1"/>
    <xf numFmtId="0" fontId="12" fillId="18" borderId="3" xfId="2" applyFont="1" applyFill="1" applyBorder="1"/>
    <xf numFmtId="0" fontId="12" fillId="18" borderId="23" xfId="2" applyFont="1" applyFill="1" applyBorder="1"/>
    <xf numFmtId="0" fontId="21" fillId="18" borderId="21" xfId="0" applyFont="1" applyFill="1" applyBorder="1" applyAlignment="1">
      <alignment wrapText="1"/>
    </xf>
    <xf numFmtId="0" fontId="0" fillId="0" borderId="21" xfId="0" applyBorder="1" applyAlignment="1">
      <alignment vertical="center" wrapText="1"/>
    </xf>
    <xf numFmtId="0" fontId="55" fillId="0" borderId="21" xfId="0" applyFont="1" applyBorder="1" applyAlignment="1">
      <alignment vertical="center" wrapText="1"/>
    </xf>
    <xf numFmtId="0" fontId="36" fillId="17" borderId="21" xfId="0" applyFont="1" applyFill="1" applyBorder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4" fillId="0" borderId="2" xfId="0" applyFont="1" applyBorder="1"/>
    <xf numFmtId="0" fontId="6" fillId="0" borderId="0" xfId="0" applyFont="1" applyAlignment="1">
      <alignment horizontal="center"/>
    </xf>
    <xf numFmtId="0" fontId="33" fillId="0" borderId="13" xfId="0" applyFont="1" applyBorder="1" applyAlignment="1">
      <alignment horizontal="left" vertical="top" wrapText="1"/>
    </xf>
    <xf numFmtId="0" fontId="24" fillId="0" borderId="15" xfId="0" applyFont="1" applyBorder="1"/>
    <xf numFmtId="0" fontId="24" fillId="0" borderId="6" xfId="0" applyFont="1" applyBorder="1"/>
    <xf numFmtId="0" fontId="24" fillId="0" borderId="7" xfId="0" applyFont="1" applyBorder="1"/>
    <xf numFmtId="0" fontId="24" fillId="0" borderId="4" xfId="0" applyFont="1" applyBorder="1"/>
    <xf numFmtId="0" fontId="24" fillId="0" borderId="5" xfId="0" applyFont="1" applyBorder="1"/>
    <xf numFmtId="0" fontId="26" fillId="14" borderId="0" xfId="0" applyFont="1" applyFill="1"/>
    <xf numFmtId="0" fontId="23" fillId="14" borderId="13" xfId="0" applyFont="1" applyFill="1" applyBorder="1" applyAlignment="1">
      <alignment horizontal="center" vertical="center" wrapText="1"/>
    </xf>
    <xf numFmtId="0" fontId="24" fillId="0" borderId="14" xfId="0" applyFont="1" applyBorder="1" applyAlignment="1">
      <alignment wrapText="1"/>
    </xf>
    <xf numFmtId="0" fontId="24" fillId="0" borderId="15" xfId="0" applyFont="1" applyBorder="1" applyAlignment="1">
      <alignment wrapText="1"/>
    </xf>
    <xf numFmtId="0" fontId="24" fillId="0" borderId="6" xfId="0" applyFont="1" applyBorder="1" applyAlignment="1">
      <alignment wrapText="1"/>
    </xf>
    <xf numFmtId="0" fontId="0" fillId="0" borderId="0" xfId="0" applyAlignment="1">
      <alignment wrapText="1"/>
    </xf>
    <xf numFmtId="0" fontId="24" fillId="0" borderId="7" xfId="0" applyFont="1" applyBorder="1" applyAlignment="1">
      <alignment wrapText="1"/>
    </xf>
    <xf numFmtId="0" fontId="24" fillId="0" borderId="4" xfId="0" applyFont="1" applyBorder="1" applyAlignment="1">
      <alignment wrapText="1"/>
    </xf>
    <xf numFmtId="0" fontId="24" fillId="0" borderId="16" xfId="0" applyFont="1" applyBorder="1" applyAlignment="1">
      <alignment wrapText="1"/>
    </xf>
    <xf numFmtId="0" fontId="24" fillId="0" borderId="5" xfId="0" applyFont="1" applyBorder="1" applyAlignment="1">
      <alignment wrapText="1"/>
    </xf>
    <xf numFmtId="0" fontId="48" fillId="14" borderId="1" xfId="0" applyFont="1" applyFill="1" applyBorder="1" applyAlignment="1">
      <alignment horizontal="left"/>
    </xf>
    <xf numFmtId="0" fontId="24" fillId="0" borderId="17" xfId="0" applyFont="1" applyBorder="1"/>
    <xf numFmtId="0" fontId="24" fillId="0" borderId="2" xfId="0" applyFont="1" applyBorder="1"/>
    <xf numFmtId="0" fontId="31" fillId="14" borderId="1" xfId="0" applyFont="1" applyFill="1" applyBorder="1"/>
    <xf numFmtId="0" fontId="42" fillId="0" borderId="0" xfId="0" applyFont="1" applyAlignment="1">
      <alignment wrapText="1"/>
    </xf>
    <xf numFmtId="0" fontId="49" fillId="0" borderId="0" xfId="0" applyFont="1" applyAlignment="1">
      <alignment wrapText="1"/>
    </xf>
    <xf numFmtId="0" fontId="9" fillId="0" borderId="12" xfId="0" applyFont="1" applyBorder="1" applyAlignment="1">
      <alignment horizontal="center"/>
    </xf>
    <xf numFmtId="0" fontId="0" fillId="0" borderId="5" xfId="0" applyBorder="1"/>
    <xf numFmtId="0" fontId="9" fillId="0" borderId="3" xfId="0" applyFont="1" applyBorder="1" applyAlignment="1">
      <alignment horizontal="center"/>
    </xf>
    <xf numFmtId="0" fontId="0" fillId="0" borderId="2" xfId="0" applyBorder="1"/>
    <xf numFmtId="0" fontId="12" fillId="18" borderId="23" xfId="2" applyFont="1" applyFill="1" applyBorder="1" applyAlignment="1">
      <alignment vertical="center"/>
    </xf>
    <xf numFmtId="0" fontId="54" fillId="18" borderId="12" xfId="2" applyFont="1" applyFill="1" applyBorder="1"/>
    <xf numFmtId="0" fontId="14" fillId="0" borderId="8" xfId="2" applyFont="1" applyBorder="1" applyAlignment="1">
      <alignment horizontal="center" vertical="center"/>
    </xf>
    <xf numFmtId="0" fontId="4" fillId="0" borderId="9" xfId="2" applyFont="1" applyBorder="1"/>
    <xf numFmtId="0" fontId="4" fillId="0" borderId="10" xfId="2" applyFont="1" applyBorder="1"/>
    <xf numFmtId="0" fontId="12" fillId="19" borderId="23" xfId="2" applyFont="1" applyFill="1" applyBorder="1" applyAlignment="1">
      <alignment vertical="center"/>
    </xf>
    <xf numFmtId="0" fontId="54" fillId="19" borderId="12" xfId="2" applyFont="1" applyFill="1" applyBorder="1"/>
    <xf numFmtId="0" fontId="12" fillId="18" borderId="7" xfId="2" applyFont="1" applyFill="1" applyBorder="1" applyAlignment="1">
      <alignment vertical="center"/>
    </xf>
    <xf numFmtId="0" fontId="54" fillId="18" borderId="5" xfId="2" applyFont="1" applyFill="1" applyBorder="1"/>
    <xf numFmtId="0" fontId="11" fillId="13" borderId="3" xfId="0" applyFont="1" applyFill="1" applyBorder="1"/>
    <xf numFmtId="0" fontId="11" fillId="17" borderId="3" xfId="0" applyFont="1" applyFill="1" applyBorder="1"/>
    <xf numFmtId="0" fontId="8" fillId="24" borderId="3" xfId="0" applyFont="1" applyFill="1" applyBorder="1"/>
    <xf numFmtId="0" fontId="11" fillId="12" borderId="3" xfId="0" applyFont="1" applyFill="1" applyBorder="1"/>
    <xf numFmtId="0" fontId="11" fillId="24" borderId="3" xfId="0" applyFont="1" applyFill="1" applyBorder="1"/>
  </cellXfs>
  <cellStyles count="3">
    <cellStyle name="Гиперссылка" xfId="1" builtinId="8"/>
    <cellStyle name="Обычный" xfId="0" builtinId="0"/>
    <cellStyle name="Обычный 2" xfId="2"/>
  </cellStyles>
  <dxfs count="15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5" defaultTableStyle="TableStyleMedium2" defaultPivotStyle="PivotStyleLight16">
    <tableStyle name="БРПО-style" pivot="0" count="3">
      <tableStyleElement type="headerRow" dxfId="14"/>
      <tableStyleElement type="firstRowStripe" dxfId="13"/>
      <tableStyleElement type="secondRowStripe" dxfId="12"/>
    </tableStyle>
    <tableStyle name="БРПО-style 2" pivot="0" count="3">
      <tableStyleElement type="headerRow" dxfId="11"/>
      <tableStyleElement type="firstRowStripe" dxfId="10"/>
      <tableStyleElement type="secondRowStripe" dxfId="9"/>
    </tableStyle>
    <tableStyle name="БРПО-style 3" pivot="0" count="3">
      <tableStyleElement type="headerRow" dxfId="8"/>
      <tableStyleElement type="firstRowStripe" dxfId="7"/>
      <tableStyleElement type="secondRowStripe" dxfId="6"/>
    </tableStyle>
    <tableStyle name="БРПО-style 4" pivot="0" count="3">
      <tableStyleElement type="headerRow" dxfId="5"/>
      <tableStyleElement type="firstRowStripe" dxfId="4"/>
      <tableStyleElement type="secondRowStripe" dxfId="3"/>
    </tableStyle>
    <tableStyle name="БРПО-style 5" pivot="0" count="3">
      <tableStyleElement type="headerRow" dxfId="2"/>
      <tableStyleElement type="firstRowStripe" dxfId="1"/>
      <tableStyleElement type="secondRowStripe" dxfId="0"/>
    </tableStyle>
  </tableStyles>
  <colors>
    <mruColors>
      <color rgb="FFD9D2E9"/>
      <color rgb="FFEAD1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7840174020509617E-3"/>
          <c:y val="5.0830498298979385E-2"/>
          <c:w val="0.99621598259794908"/>
          <c:h val="0.8983390034020412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rgbClr val="33CCFF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Данные!$S$8:$S$12</c:f>
              <c:strCache>
                <c:ptCount val="5"/>
                <c:pt idx="0">
                  <c:v>Крипак Ксения</c:v>
                </c:pt>
                <c:pt idx="1">
                  <c:v>Марущак Анастасия</c:v>
                </c:pt>
                <c:pt idx="2">
                  <c:v>Усанов Владислав</c:v>
                </c:pt>
                <c:pt idx="3">
                  <c:v>Пащенко Анастасия</c:v>
                </c:pt>
                <c:pt idx="4">
                  <c:v>Кузнецов Никита</c:v>
                </c:pt>
              </c:strCache>
            </c:strRef>
          </c:cat>
          <c:val>
            <c:numRef>
              <c:f>Данные!$T$8:$T$12</c:f>
              <c:numCache>
                <c:formatCode>General</c:formatCode>
                <c:ptCount val="5"/>
                <c:pt idx="0">
                  <c:v>19</c:v>
                </c:pt>
                <c:pt idx="1">
                  <c:v>14</c:v>
                </c:pt>
                <c:pt idx="2">
                  <c:v>16</c:v>
                </c:pt>
                <c:pt idx="3">
                  <c:v>10</c:v>
                </c:pt>
                <c:pt idx="4">
                  <c:v>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935F-4350-A529-5C5B4D58A42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2138358048"/>
        <c:axId val="2138349888"/>
      </c:barChart>
      <c:catAx>
        <c:axId val="2138358048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2138349888"/>
        <c:crosses val="autoZero"/>
        <c:auto val="1"/>
        <c:lblAlgn val="ctr"/>
        <c:lblOffset val="100"/>
        <c:noMultiLvlLbl val="0"/>
      </c:catAx>
      <c:valAx>
        <c:axId val="213834988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213835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28323C"/>
    </a:solidFill>
    <a:ln w="9525" cap="flat" cmpd="sng" algn="ctr">
      <a:noFill/>
      <a:round/>
    </a:ln>
    <a:effectLst/>
  </c:spPr>
  <c:txPr>
    <a:bodyPr/>
    <a:lstStyle/>
    <a:p>
      <a:pPr>
        <a:defRPr>
          <a:latin typeface="Bahnschrift" panose="020B0502040204020203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6251048481176674E-2"/>
          <c:y val="0.17997526889462395"/>
          <c:w val="0.81261658761279187"/>
          <c:h val="0.65032370401147244"/>
        </c:manualLayout>
      </c:layout>
      <c:areaChart>
        <c:grouping val="standard"/>
        <c:varyColors val="0"/>
        <c:ser>
          <c:idx val="0"/>
          <c:order val="0"/>
          <c:tx>
            <c:v>Факт</c:v>
          </c:tx>
          <c:spPr>
            <a:gradFill>
              <a:gsLst>
                <a:gs pos="20000">
                  <a:schemeClr val="accent1">
                    <a:lumMod val="5000"/>
                    <a:lumOff val="95000"/>
                    <a:alpha val="80000"/>
                  </a:schemeClr>
                </a:gs>
                <a:gs pos="99000">
                  <a:schemeClr val="bg1">
                    <a:alpha val="0"/>
                  </a:schemeClr>
                </a:gs>
              </a:gsLst>
              <a:lin ang="5400000" scaled="1"/>
            </a:gradFill>
            <a:ln>
              <a:noFill/>
            </a:ln>
            <a:effectLst>
              <a:softEdge rad="0"/>
            </a:effectLst>
          </c:spPr>
          <c:dPt>
            <c:idx val="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1D04-4B0E-929C-2E52A0AF938A}"/>
              </c:ext>
            </c:extLst>
          </c:dPt>
          <c:cat>
            <c:numRef>
              <c:f>'[1]Helper Sheet'!$A$8:$A$14</c:f>
              <c:numCache>
                <c:formatCode>General</c:formatCode>
                <c:ptCount val="7"/>
                <c:pt idx="0">
                  <c:v>45462</c:v>
                </c:pt>
                <c:pt idx="1">
                  <c:v>45463</c:v>
                </c:pt>
                <c:pt idx="2">
                  <c:v>45464</c:v>
                </c:pt>
                <c:pt idx="3">
                  <c:v>45465</c:v>
                </c:pt>
                <c:pt idx="4">
                  <c:v>45466</c:v>
                </c:pt>
                <c:pt idx="5">
                  <c:v>45467</c:v>
                </c:pt>
                <c:pt idx="6">
                  <c:v>45468</c:v>
                </c:pt>
              </c:numCache>
            </c:numRef>
          </c:cat>
          <c:val>
            <c:numRef>
              <c:f>Данные!$T$3:$W$3</c:f>
              <c:numCache>
                <c:formatCode>General</c:formatCode>
                <c:ptCount val="4"/>
                <c:pt idx="0">
                  <c:v>21</c:v>
                </c:pt>
                <c:pt idx="1">
                  <c:v>24</c:v>
                </c:pt>
                <c:pt idx="2">
                  <c:v>17</c:v>
                </c:pt>
                <c:pt idx="3">
                  <c:v>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1D04-4B0E-929C-2E52A0AF93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8355328"/>
        <c:axId val="2138354240"/>
      </c:areaChart>
      <c:lineChart>
        <c:grouping val="standard"/>
        <c:varyColors val="0"/>
        <c:ser>
          <c:idx val="1"/>
          <c:order val="1"/>
          <c:tx>
            <c:v>План</c:v>
          </c:tx>
          <c:spPr>
            <a:ln w="28575" cap="rnd">
              <a:solidFill>
                <a:srgbClr val="04D3F7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bg1"/>
              </a:solidFill>
              <a:ln w="9525">
                <a:noFill/>
              </a:ln>
              <a:effectLst/>
            </c:spPr>
          </c:marker>
          <c:cat>
            <c:strRef>
              <c:f>Данные!$T$1:$W$1</c:f>
              <c:strCache>
                <c:ptCount val="4"/>
                <c:pt idx="0">
                  <c:v>Неделя 1</c:v>
                </c:pt>
                <c:pt idx="1">
                  <c:v>Неделя 2</c:v>
                </c:pt>
                <c:pt idx="2">
                  <c:v>Неделя 3</c:v>
                </c:pt>
                <c:pt idx="3">
                  <c:v>Неделя 4</c:v>
                </c:pt>
              </c:strCache>
            </c:strRef>
          </c:cat>
          <c:val>
            <c:numRef>
              <c:f>Данные!$T$2:$W$2</c:f>
              <c:numCache>
                <c:formatCode>General</c:formatCode>
                <c:ptCount val="4"/>
                <c:pt idx="0">
                  <c:v>25</c:v>
                </c:pt>
                <c:pt idx="1">
                  <c:v>26</c:v>
                </c:pt>
                <c:pt idx="2">
                  <c:v>19</c:v>
                </c:pt>
                <c:pt idx="3">
                  <c:v>8</c:v>
                </c:pt>
              </c:numCache>
            </c:numRef>
          </c: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2-1D04-4B0E-929C-2E52A0AF938A}"/>
            </c:ext>
          </c:extLst>
        </c:ser>
        <c:ser>
          <c:idx val="2"/>
          <c:order val="2"/>
          <c:tx>
            <c:v>Вовремя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Данные!$T$4:$W$4</c:f>
              <c:numCache>
                <c:formatCode>General</c:formatCode>
                <c:ptCount val="4"/>
                <c:pt idx="0">
                  <c:v>20</c:v>
                </c:pt>
                <c:pt idx="1">
                  <c:v>22</c:v>
                </c:pt>
                <c:pt idx="2">
                  <c:v>16</c:v>
                </c:pt>
                <c:pt idx="3">
                  <c:v>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1D04-4B0E-929C-2E52A0AF93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8361312"/>
        <c:axId val="2138362944"/>
      </c:lineChart>
      <c:catAx>
        <c:axId val="2138361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bg1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2138362944"/>
        <c:crosses val="autoZero"/>
        <c:auto val="1"/>
        <c:lblAlgn val="ctr"/>
        <c:lblOffset val="100"/>
        <c:noMultiLvlLbl val="0"/>
      </c:catAx>
      <c:valAx>
        <c:axId val="21383629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04D3F7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2138361312"/>
        <c:crosses val="autoZero"/>
        <c:crossBetween val="between"/>
      </c:valAx>
      <c:valAx>
        <c:axId val="213835424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ln>
                  <a:noFill/>
                </a:ln>
                <a:solidFill>
                  <a:schemeClr val="bg1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2138355328"/>
        <c:crosses val="max"/>
        <c:crossBetween val="between"/>
      </c:valAx>
      <c:catAx>
        <c:axId val="21383553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138354240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28323C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3382019576791571"/>
          <c:y val="0.15519605975474191"/>
          <c:w val="0.53971320955736524"/>
          <c:h val="0.68033826082957982"/>
        </c:manualLayout>
      </c:layout>
      <c:doughnutChart>
        <c:varyColors val="1"/>
        <c:ser>
          <c:idx val="0"/>
          <c:order val="0"/>
          <c:tx>
            <c:strRef>
              <c:f>Данные!$T$7</c:f>
              <c:strCache>
                <c:ptCount val="1"/>
                <c:pt idx="0">
                  <c:v>KPI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</c:spPr>
          <c:dPt>
            <c:idx val="0"/>
            <c:bubble3D val="0"/>
            <c:spPr>
              <a:solidFill>
                <a:srgbClr val="04D3F7"/>
              </a:solidFill>
              <a:ln w="19050">
                <a:noFill/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1-669F-4F7C-B02E-469AA5E48AEF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noFill/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3-669F-4F7C-B02E-469AA5E48AEF}"/>
              </c:ext>
            </c:extLst>
          </c:dPt>
          <c:cat>
            <c:strRef>
              <c:f>Данные!$T$7:$U$7</c:f>
              <c:strCache>
                <c:ptCount val="2"/>
                <c:pt idx="0">
                  <c:v>KPI</c:v>
                </c:pt>
                <c:pt idx="1">
                  <c:v>Остальное</c:v>
                </c:pt>
              </c:strCache>
            </c:strRef>
          </c:cat>
          <c:val>
            <c:numRef>
              <c:f>Данные!$U$8:$U$9</c:f>
              <c:numCache>
                <c:formatCode>General</c:formatCode>
                <c:ptCount val="2"/>
                <c:pt idx="0">
                  <c:v>0.92764999999999997</c:v>
                </c:pt>
                <c:pt idx="1">
                  <c:v>7.2350000000000025E-2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669F-4F7C-B02E-469AA5E48A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28323C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3382019576791571"/>
          <c:y val="0.15519605975474191"/>
          <c:w val="0.53971320955736524"/>
          <c:h val="0.68033826082957982"/>
        </c:manualLayout>
      </c:layout>
      <c:doughnutChart>
        <c:varyColors val="1"/>
        <c:ser>
          <c:idx val="0"/>
          <c:order val="0"/>
          <c:tx>
            <c:strRef>
              <c:f>Данные!$W$7</c:f>
              <c:strCache>
                <c:ptCount val="1"/>
                <c:pt idx="0">
                  <c:v>KPI</c:v>
                </c:pt>
              </c:strCache>
            </c:strRef>
          </c:tx>
          <c:spPr>
            <a:solidFill>
              <a:srgbClr val="04D3F7"/>
            </a:solidFill>
            <a:ln>
              <a:noFill/>
            </a:ln>
          </c:spPr>
          <c:dPt>
            <c:idx val="0"/>
            <c:bubble3D val="0"/>
            <c:spPr>
              <a:solidFill>
                <a:srgbClr val="04D3F7"/>
              </a:solidFill>
              <a:ln w="19050">
                <a:noFill/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1-AB51-4EAB-BA94-D225BF804EC1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noFill/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3-AB51-4EAB-BA94-D225BF804EC1}"/>
              </c:ext>
            </c:extLst>
          </c:dPt>
          <c:cat>
            <c:strRef>
              <c:f>Данные!$W$7:$X$7</c:f>
              <c:strCache>
                <c:ptCount val="2"/>
                <c:pt idx="0">
                  <c:v>KPI</c:v>
                </c:pt>
                <c:pt idx="1">
                  <c:v>Остальное</c:v>
                </c:pt>
              </c:strCache>
            </c:strRef>
          </c:cat>
          <c:val>
            <c:numRef>
              <c:f>Данные!$X$8:$X$9</c:f>
              <c:numCache>
                <c:formatCode>General</c:formatCode>
                <c:ptCount val="2"/>
                <c:pt idx="0">
                  <c:v>0.97777500000000006</c:v>
                </c:pt>
                <c:pt idx="1">
                  <c:v>2.2224999999999939E-2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AB51-4EAB-BA94-D225BF804E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2"/>
      </c:doughnutChart>
      <c:spPr>
        <a:noFill/>
        <a:ln w="25400"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28323C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3382019576791571"/>
          <c:y val="0.15519605975474191"/>
          <c:w val="0.53971320955736524"/>
          <c:h val="0.68033826082957982"/>
        </c:manualLayout>
      </c:layout>
      <c:doughnutChart>
        <c:varyColors val="1"/>
        <c:ser>
          <c:idx val="0"/>
          <c:order val="0"/>
          <c:tx>
            <c:strRef>
              <c:f>Данные!$Z$7</c:f>
              <c:strCache>
                <c:ptCount val="1"/>
                <c:pt idx="0">
                  <c:v>KPI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rgbClr val="04D3F7"/>
              </a:solidFill>
              <a:ln w="19050">
                <a:noFill/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1-417A-4490-BECC-87F264E256B9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noFill/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3-417A-4490-BECC-87F264E256B9}"/>
              </c:ext>
            </c:extLst>
          </c:dPt>
          <c:cat>
            <c:strRef>
              <c:f>Данные!$Z$7:$AA$7</c:f>
              <c:strCache>
                <c:ptCount val="2"/>
                <c:pt idx="0">
                  <c:v>KPI</c:v>
                </c:pt>
                <c:pt idx="1">
                  <c:v>Остальное</c:v>
                </c:pt>
              </c:strCache>
            </c:strRef>
          </c:cat>
          <c:val>
            <c:numRef>
              <c:f>Данные!$AA$8:$AA$9</c:f>
              <c:numCache>
                <c:formatCode>General</c:formatCode>
                <c:ptCount val="2"/>
                <c:pt idx="0">
                  <c:v>0.94609999999999983</c:v>
                </c:pt>
                <c:pt idx="1">
                  <c:v>5.390000000000017E-2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417A-4490-BECC-87F264E256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2"/>
      </c:doughnutChart>
      <c:spPr>
        <a:noFill/>
        <a:ln w="25400"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28323C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3382019576791571"/>
          <c:y val="0.15519605975474191"/>
          <c:w val="0.53971320955736524"/>
          <c:h val="0.68033826082957982"/>
        </c:manualLayout>
      </c:layout>
      <c:doughnutChart>
        <c:varyColors val="1"/>
        <c:ser>
          <c:idx val="0"/>
          <c:order val="0"/>
          <c:tx>
            <c:strRef>
              <c:f>Данные!$AD$7</c:f>
              <c:strCache>
                <c:ptCount val="1"/>
                <c:pt idx="0">
                  <c:v>KPI</c:v>
                </c:pt>
              </c:strCache>
            </c:strRef>
          </c:tx>
          <c:spPr>
            <a:solidFill>
              <a:schemeClr val="bg1"/>
            </a:solidFill>
          </c:spPr>
          <c:dPt>
            <c:idx val="0"/>
            <c:bubble3D val="0"/>
            <c:spPr>
              <a:solidFill>
                <a:srgbClr val="04D3F7"/>
              </a:solidFill>
              <a:ln w="19050">
                <a:noFill/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1-D6B3-4046-AC01-A22E2DB80AD6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noFill/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3-D6B3-4046-AC01-A22E2DB80AD6}"/>
              </c:ext>
            </c:extLst>
          </c:dPt>
          <c:cat>
            <c:strRef>
              <c:f>Данные!$AD$7:$AE$7</c:f>
              <c:strCache>
                <c:ptCount val="2"/>
                <c:pt idx="0">
                  <c:v>KPI</c:v>
                </c:pt>
                <c:pt idx="1">
                  <c:v>Остальное</c:v>
                </c:pt>
              </c:strCache>
            </c:strRef>
          </c:cat>
          <c:val>
            <c:numRef>
              <c:f>Данные!$AE$8:$AE$9</c:f>
              <c:numCache>
                <c:formatCode>General</c:formatCode>
                <c:ptCount val="2"/>
                <c:pt idx="0">
                  <c:v>0.88572499999999987</c:v>
                </c:pt>
                <c:pt idx="1">
                  <c:v>0.11427500000000013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D6B3-4046-AC01-A22E2DB80A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2"/>
      </c:doughnutChart>
      <c:spPr>
        <a:noFill/>
        <a:ln w="25400"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28323C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3382019576791571"/>
          <c:y val="0.15519605975474191"/>
          <c:w val="0.53971320955736524"/>
          <c:h val="0.68033826082957982"/>
        </c:manualLayout>
      </c:layout>
      <c:doughnutChart>
        <c:varyColors val="1"/>
        <c:ser>
          <c:idx val="0"/>
          <c:order val="0"/>
          <c:tx>
            <c:strRef>
              <c:f>Данные!$AH$7</c:f>
              <c:strCache>
                <c:ptCount val="1"/>
                <c:pt idx="0">
                  <c:v>KPI</c:v>
                </c:pt>
              </c:strCache>
            </c:strRef>
          </c:tx>
          <c:dPt>
            <c:idx val="0"/>
            <c:bubble3D val="0"/>
            <c:spPr>
              <a:solidFill>
                <a:srgbClr val="04D3F7"/>
              </a:solidFill>
              <a:ln w="19050">
                <a:noFill/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1-BE8B-4AC1-8AF9-8D12E4C7E64E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noFill/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3-BE8B-4AC1-8AF9-8D12E4C7E64E}"/>
              </c:ext>
            </c:extLst>
          </c:dPt>
          <c:cat>
            <c:strRef>
              <c:f>Данные!$AH$7:$AI$7</c:f>
              <c:strCache>
                <c:ptCount val="2"/>
                <c:pt idx="0">
                  <c:v>KPI</c:v>
                </c:pt>
                <c:pt idx="1">
                  <c:v>Остальное</c:v>
                </c:pt>
              </c:strCache>
            </c:strRef>
          </c:cat>
          <c:val>
            <c:numRef>
              <c:f>Данные!$AI$8:$AI$9</c:f>
              <c:numCache>
                <c:formatCode>General</c:formatCode>
                <c:ptCount val="2"/>
                <c:pt idx="0">
                  <c:v>0.93532499999999996</c:v>
                </c:pt>
                <c:pt idx="1">
                  <c:v>6.4675000000000038E-2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BE8B-4AC1-8AF9-8D12E4C7E6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2"/>
      </c:doughnutChart>
      <c:spPr>
        <a:noFill/>
        <a:ln w="25400"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28323C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194930</xdr:colOff>
      <xdr:row>22</xdr:row>
      <xdr:rowOff>124046</xdr:rowOff>
    </xdr:from>
    <xdr:to>
      <xdr:col>9</xdr:col>
      <xdr:colOff>1020221</xdr:colOff>
      <xdr:row>25</xdr:row>
      <xdr:rowOff>17721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298093" y="12688186"/>
          <a:ext cx="14683058" cy="44302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</xdr:colOff>
      <xdr:row>5</xdr:row>
      <xdr:rowOff>32361</xdr:rowOff>
    </xdr:from>
    <xdr:to>
      <xdr:col>2</xdr:col>
      <xdr:colOff>829829</xdr:colOff>
      <xdr:row>8</xdr:row>
      <xdr:rowOff>59256</xdr:rowOff>
    </xdr:to>
    <xdr:grpSp>
      <xdr:nvGrpSpPr>
        <xdr:cNvPr id="2" name="Group 22">
          <a:extLst>
            <a:ext uri="{FF2B5EF4-FFF2-40B4-BE49-F238E27FC236}">
              <a16:creationId xmlns:a16="http://schemas.microsoft.com/office/drawing/2014/main" xmlns="" id="{A25BC36C-A2AF-4D2F-B313-E387B9E75CE0}"/>
            </a:ext>
          </a:extLst>
        </xdr:cNvPr>
        <xdr:cNvGrpSpPr/>
      </xdr:nvGrpSpPr>
      <xdr:grpSpPr>
        <a:xfrm>
          <a:off x="858459" y="948690"/>
          <a:ext cx="1524307" cy="518819"/>
          <a:chOff x="257911" y="891298"/>
          <a:chExt cx="2230829" cy="783034"/>
        </a:xfrm>
      </xdr:grpSpPr>
      <xdr:sp macro="" textlink="Данные!AK1">
        <xdr:nvSpPr>
          <xdr:cNvPr id="3" name="Rectangle 2">
            <a:extLst>
              <a:ext uri="{FF2B5EF4-FFF2-40B4-BE49-F238E27FC236}">
                <a16:creationId xmlns:a16="http://schemas.microsoft.com/office/drawing/2014/main" xmlns="" id="{08EFBCD7-9ACA-06E4-0983-C4CB9A3A6F8A}"/>
              </a:ext>
            </a:extLst>
          </xdr:cNvPr>
          <xdr:cNvSpPr/>
        </xdr:nvSpPr>
        <xdr:spPr>
          <a:xfrm>
            <a:off x="257911" y="891298"/>
            <a:ext cx="2230829" cy="783034"/>
          </a:xfrm>
          <a:prstGeom prst="rect">
            <a:avLst/>
          </a:prstGeom>
          <a:solidFill>
            <a:srgbClr val="28323C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118E6892-EC61-4193-807F-60938C99E694}" type="TxLink">
              <a:rPr lang="en-US" sz="1000" b="0" i="0" u="none" strike="noStrike">
                <a:solidFill>
                  <a:srgbClr val="000000"/>
                </a:solidFill>
                <a:latin typeface="Arial"/>
                <a:cs typeface="Arial"/>
              </a:rPr>
              <a:pPr algn="l"/>
              <a:t>70</a:t>
            </a:fld>
            <a:endParaRPr lang="en-US" sz="1100"/>
          </a:p>
        </xdr:txBody>
      </xdr: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xmlns="" id="{B13ABE11-17C2-AF39-84B9-943D16F03FE1}"/>
              </a:ext>
            </a:extLst>
          </xdr:cNvPr>
          <xdr:cNvSpPr txBox="1"/>
        </xdr:nvSpPr>
        <xdr:spPr>
          <a:xfrm>
            <a:off x="381001" y="956809"/>
            <a:ext cx="1963614" cy="21120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36000" rIns="36000" bIns="36000" rtlCol="0" anchor="ctr">
            <a:noAutofit/>
          </a:bodyPr>
          <a:lstStyle/>
          <a:p>
            <a:pPr algn="l"/>
            <a:r>
              <a:rPr lang="ru-RU" sz="900" b="1">
                <a:solidFill>
                  <a:schemeClr val="bg1"/>
                </a:solidFill>
                <a:latin typeface="Bahnschrift" panose="020B0502040204020203" pitchFamily="34" charset="0"/>
              </a:rPr>
              <a:t>ФАКТ (за период)</a:t>
            </a:r>
            <a:endParaRPr lang="en-US" sz="900" b="1">
              <a:solidFill>
                <a:schemeClr val="bg1"/>
              </a:solidFill>
              <a:latin typeface="Bahnschrift" panose="020B0502040204020203" pitchFamily="34" charset="0"/>
            </a:endParaRPr>
          </a:p>
        </xdr:txBody>
      </xdr:sp>
    </xdr:grpSp>
    <xdr:clientData/>
  </xdr:twoCellAnchor>
  <xdr:twoCellAnchor>
    <xdr:from>
      <xdr:col>2</xdr:col>
      <xdr:colOff>1080190</xdr:colOff>
      <xdr:row>5</xdr:row>
      <xdr:rowOff>28396</xdr:rowOff>
    </xdr:from>
    <xdr:to>
      <xdr:col>2</xdr:col>
      <xdr:colOff>2749258</xdr:colOff>
      <xdr:row>8</xdr:row>
      <xdr:rowOff>55291</xdr:rowOff>
    </xdr:to>
    <xdr:grpSp>
      <xdr:nvGrpSpPr>
        <xdr:cNvPr id="5" name="Group 23">
          <a:extLst>
            <a:ext uri="{FF2B5EF4-FFF2-40B4-BE49-F238E27FC236}">
              <a16:creationId xmlns:a16="http://schemas.microsoft.com/office/drawing/2014/main" xmlns="" id="{2E151793-D8FF-4274-9E7B-379568868A7E}"/>
            </a:ext>
          </a:extLst>
        </xdr:cNvPr>
        <xdr:cNvGrpSpPr/>
      </xdr:nvGrpSpPr>
      <xdr:grpSpPr>
        <a:xfrm>
          <a:off x="2633127" y="944725"/>
          <a:ext cx="1669068" cy="518819"/>
          <a:chOff x="257911" y="891298"/>
          <a:chExt cx="2230829" cy="783034"/>
        </a:xfrm>
      </xdr:grpSpPr>
      <xdr:sp macro="" textlink="">
        <xdr:nvSpPr>
          <xdr:cNvPr id="6" name="Rectangle 24">
            <a:extLst>
              <a:ext uri="{FF2B5EF4-FFF2-40B4-BE49-F238E27FC236}">
                <a16:creationId xmlns:a16="http://schemas.microsoft.com/office/drawing/2014/main" xmlns="" id="{370DFF8E-9F1D-9A80-00B9-92DB178E9581}"/>
              </a:ext>
            </a:extLst>
          </xdr:cNvPr>
          <xdr:cNvSpPr/>
        </xdr:nvSpPr>
        <xdr:spPr>
          <a:xfrm>
            <a:off x="257911" y="891298"/>
            <a:ext cx="2230829" cy="783034"/>
          </a:xfrm>
          <a:prstGeom prst="rect">
            <a:avLst/>
          </a:prstGeom>
          <a:solidFill>
            <a:srgbClr val="28323C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xmlns="" id="{3AE12662-9CEB-9FE3-38A4-ABDD575CC41E}"/>
              </a:ext>
            </a:extLst>
          </xdr:cNvPr>
          <xdr:cNvSpPr txBox="1"/>
        </xdr:nvSpPr>
        <xdr:spPr>
          <a:xfrm>
            <a:off x="381001" y="956809"/>
            <a:ext cx="1963614" cy="21120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36000" rIns="36000" bIns="36000" rtlCol="0" anchor="ctr">
            <a:noAutofit/>
          </a:bodyPr>
          <a:lstStyle/>
          <a:p>
            <a:pPr algn="l"/>
            <a:r>
              <a:rPr lang="ru-RU" sz="900" b="1">
                <a:solidFill>
                  <a:schemeClr val="bg1"/>
                </a:solidFill>
                <a:latin typeface="Bahnschrift" panose="020B0502040204020203" pitchFamily="34" charset="0"/>
              </a:rPr>
              <a:t>ПЛАН (за период)</a:t>
            </a:r>
            <a:endParaRPr lang="en-US" sz="900" b="1">
              <a:solidFill>
                <a:schemeClr val="bg1"/>
              </a:solidFill>
              <a:latin typeface="Bahnschrift" panose="020B0502040204020203" pitchFamily="34" charset="0"/>
            </a:endParaRPr>
          </a:p>
        </xdr:txBody>
      </xdr:sp>
      <xdr:sp macro="" textlink="Данные!AK2">
        <xdr:nvSpPr>
          <xdr:cNvPr id="8" name="TextBox 7">
            <a:extLst>
              <a:ext uri="{FF2B5EF4-FFF2-40B4-BE49-F238E27FC236}">
                <a16:creationId xmlns:a16="http://schemas.microsoft.com/office/drawing/2014/main" xmlns="" id="{8C755408-A6A3-CAC7-6322-729163394877}"/>
              </a:ext>
            </a:extLst>
          </xdr:cNvPr>
          <xdr:cNvSpPr txBox="1"/>
        </xdr:nvSpPr>
        <xdr:spPr>
          <a:xfrm>
            <a:off x="404446" y="1121525"/>
            <a:ext cx="1920335" cy="4779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36000" rIns="36000" bIns="36000" rtlCol="0" anchor="ctr">
            <a:noAutofit/>
          </a:bodyPr>
          <a:lstStyle/>
          <a:p>
            <a:pPr algn="r"/>
            <a:fld id="{53CC09DB-FECD-4AD3-8DAC-49DA6306CCA8}" type="TxLink">
              <a:rPr lang="en-US" sz="2800" b="1" i="0" u="none" strike="noStrike">
                <a:solidFill>
                  <a:schemeClr val="bg1"/>
                </a:solidFill>
                <a:latin typeface="Bahnschrift" panose="020B0502040204020203" pitchFamily="34" charset="0"/>
                <a:cs typeface="Arial"/>
              </a:rPr>
              <a:pPr algn="r"/>
              <a:t>78</a:t>
            </a:fld>
            <a:endParaRPr lang="en-US" sz="2800" b="1">
              <a:solidFill>
                <a:schemeClr val="bg1"/>
              </a:solidFill>
              <a:latin typeface="Bahnschrift" panose="020B0502040204020203" pitchFamily="34" charset="0"/>
            </a:endParaRPr>
          </a:p>
        </xdr:txBody>
      </xdr:sp>
    </xdr:grpSp>
    <xdr:clientData/>
  </xdr:twoCellAnchor>
  <xdr:twoCellAnchor>
    <xdr:from>
      <xdr:col>2</xdr:col>
      <xdr:colOff>3011643</xdr:colOff>
      <xdr:row>5</xdr:row>
      <xdr:rowOff>25145</xdr:rowOff>
    </xdr:from>
    <xdr:to>
      <xdr:col>4</xdr:col>
      <xdr:colOff>398453</xdr:colOff>
      <xdr:row>8</xdr:row>
      <xdr:rowOff>52040</xdr:rowOff>
    </xdr:to>
    <xdr:grpSp>
      <xdr:nvGrpSpPr>
        <xdr:cNvPr id="9" name="Group 27">
          <a:extLst>
            <a:ext uri="{FF2B5EF4-FFF2-40B4-BE49-F238E27FC236}">
              <a16:creationId xmlns:a16="http://schemas.microsoft.com/office/drawing/2014/main" xmlns="" id="{791C0C3F-7789-4E96-9616-E399ECB5E7B9}"/>
            </a:ext>
          </a:extLst>
        </xdr:cNvPr>
        <xdr:cNvGrpSpPr/>
      </xdr:nvGrpSpPr>
      <xdr:grpSpPr>
        <a:xfrm>
          <a:off x="4564580" y="941474"/>
          <a:ext cx="2007038" cy="518819"/>
          <a:chOff x="257911" y="891298"/>
          <a:chExt cx="2230829" cy="783034"/>
        </a:xfrm>
      </xdr:grpSpPr>
      <xdr:sp macro="" textlink="">
        <xdr:nvSpPr>
          <xdr:cNvPr id="10" name="Rectangle 28">
            <a:extLst>
              <a:ext uri="{FF2B5EF4-FFF2-40B4-BE49-F238E27FC236}">
                <a16:creationId xmlns:a16="http://schemas.microsoft.com/office/drawing/2014/main" xmlns="" id="{A75EB78D-FFE6-4E51-2BDC-CC14CC07AE34}"/>
              </a:ext>
            </a:extLst>
          </xdr:cNvPr>
          <xdr:cNvSpPr/>
        </xdr:nvSpPr>
        <xdr:spPr>
          <a:xfrm>
            <a:off x="257911" y="891298"/>
            <a:ext cx="2230829" cy="783034"/>
          </a:xfrm>
          <a:prstGeom prst="rect">
            <a:avLst/>
          </a:prstGeom>
          <a:solidFill>
            <a:srgbClr val="28323C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xmlns="" id="{1D4102B9-02BD-5626-D2D1-0A4F4648F3EA}"/>
              </a:ext>
            </a:extLst>
          </xdr:cNvPr>
          <xdr:cNvSpPr txBox="1"/>
        </xdr:nvSpPr>
        <xdr:spPr>
          <a:xfrm>
            <a:off x="381001" y="956809"/>
            <a:ext cx="1963614" cy="21120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36000" rIns="36000" bIns="36000" rtlCol="0" anchor="ctr">
            <a:noAutofit/>
          </a:bodyPr>
          <a:lstStyle/>
          <a:p>
            <a:pPr algn="l"/>
            <a:r>
              <a:rPr lang="ru-RU" sz="900" b="1">
                <a:solidFill>
                  <a:schemeClr val="bg1"/>
                </a:solidFill>
                <a:latin typeface="Bahnschrift" panose="020B0502040204020203" pitchFamily="34" charset="0"/>
              </a:rPr>
              <a:t>% задач вовремя</a:t>
            </a:r>
            <a:endParaRPr lang="en-US" sz="900" b="1">
              <a:solidFill>
                <a:schemeClr val="bg1"/>
              </a:solidFill>
              <a:latin typeface="Bahnschrift" panose="020B0502040204020203" pitchFamily="34" charset="0"/>
            </a:endParaRPr>
          </a:p>
        </xdr:txBody>
      </xdr:sp>
      <xdr:sp macro="" textlink="Данные!AK3">
        <xdr:nvSpPr>
          <xdr:cNvPr id="12" name="TextBox 11">
            <a:extLst>
              <a:ext uri="{FF2B5EF4-FFF2-40B4-BE49-F238E27FC236}">
                <a16:creationId xmlns:a16="http://schemas.microsoft.com/office/drawing/2014/main" xmlns="" id="{00FB1909-F5E0-A04D-94A9-61F58060428D}"/>
              </a:ext>
            </a:extLst>
          </xdr:cNvPr>
          <xdr:cNvSpPr txBox="1"/>
        </xdr:nvSpPr>
        <xdr:spPr>
          <a:xfrm>
            <a:off x="404446" y="1155216"/>
            <a:ext cx="1963614" cy="42203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36000" rIns="36000" bIns="36000" rtlCol="0" anchor="ctr">
            <a:noAutofit/>
          </a:bodyPr>
          <a:lstStyle/>
          <a:p>
            <a:pPr algn="r"/>
            <a:fld id="{A8202E44-D70F-491F-B925-D8961D7E0A50}" type="TxLink">
              <a:rPr lang="en-US" sz="2800" b="1" i="0" u="none" strike="noStrike">
                <a:solidFill>
                  <a:schemeClr val="bg1"/>
                </a:solidFill>
                <a:latin typeface="Bahnschrift" panose="020B0502040204020203" pitchFamily="34" charset="0"/>
                <a:cs typeface="Arial"/>
              </a:rPr>
              <a:pPr algn="r"/>
              <a:t>94,29</a:t>
            </a:fld>
            <a:endParaRPr lang="en-US" sz="2800" b="1">
              <a:solidFill>
                <a:schemeClr val="bg1"/>
              </a:solidFill>
              <a:latin typeface="Bahnschrift" panose="020B0502040204020203" pitchFamily="34" charset="0"/>
            </a:endParaRPr>
          </a:p>
        </xdr:txBody>
      </xdr:sp>
    </xdr:grpSp>
    <xdr:clientData/>
  </xdr:twoCellAnchor>
  <xdr:twoCellAnchor>
    <xdr:from>
      <xdr:col>4</xdr:col>
      <xdr:colOff>660285</xdr:colOff>
      <xdr:row>5</xdr:row>
      <xdr:rowOff>25145</xdr:rowOff>
    </xdr:from>
    <xdr:to>
      <xdr:col>5</xdr:col>
      <xdr:colOff>1048750</xdr:colOff>
      <xdr:row>8</xdr:row>
      <xdr:rowOff>52040</xdr:rowOff>
    </xdr:to>
    <xdr:grpSp>
      <xdr:nvGrpSpPr>
        <xdr:cNvPr id="13" name="Group 31">
          <a:extLst>
            <a:ext uri="{FF2B5EF4-FFF2-40B4-BE49-F238E27FC236}">
              <a16:creationId xmlns:a16="http://schemas.microsoft.com/office/drawing/2014/main" xmlns="" id="{570E2913-4533-43D6-BC7B-C7531DF2B04A}"/>
            </a:ext>
          </a:extLst>
        </xdr:cNvPr>
        <xdr:cNvGrpSpPr/>
      </xdr:nvGrpSpPr>
      <xdr:grpSpPr>
        <a:xfrm>
          <a:off x="6833450" y="941474"/>
          <a:ext cx="2008920" cy="518819"/>
          <a:chOff x="257911" y="891298"/>
          <a:chExt cx="2230829" cy="783034"/>
        </a:xfrm>
      </xdr:grpSpPr>
      <xdr:sp macro="" textlink="">
        <xdr:nvSpPr>
          <xdr:cNvPr id="14" name="Rectangle 32">
            <a:extLst>
              <a:ext uri="{FF2B5EF4-FFF2-40B4-BE49-F238E27FC236}">
                <a16:creationId xmlns:a16="http://schemas.microsoft.com/office/drawing/2014/main" xmlns="" id="{DB9B8FAF-CBA7-BD38-16F0-2A3E0DAE8D40}"/>
              </a:ext>
            </a:extLst>
          </xdr:cNvPr>
          <xdr:cNvSpPr/>
        </xdr:nvSpPr>
        <xdr:spPr>
          <a:xfrm>
            <a:off x="257911" y="891298"/>
            <a:ext cx="2230829" cy="783034"/>
          </a:xfrm>
          <a:prstGeom prst="rect">
            <a:avLst/>
          </a:prstGeom>
          <a:solidFill>
            <a:srgbClr val="28323C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xmlns="" id="{C5945BB4-5F37-069E-B561-258611AA1E56}"/>
              </a:ext>
            </a:extLst>
          </xdr:cNvPr>
          <xdr:cNvSpPr txBox="1"/>
        </xdr:nvSpPr>
        <xdr:spPr>
          <a:xfrm>
            <a:off x="381001" y="956809"/>
            <a:ext cx="1963614" cy="21120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36000" rIns="36000" bIns="36000" rtlCol="0" anchor="ctr">
            <a:noAutofit/>
          </a:bodyPr>
          <a:lstStyle/>
          <a:p>
            <a:pPr algn="l"/>
            <a:r>
              <a:rPr lang="ru-RU" sz="900" b="1">
                <a:solidFill>
                  <a:schemeClr val="bg1"/>
                </a:solidFill>
                <a:latin typeface="Bahnschrift" panose="020B0502040204020203" pitchFamily="34" charset="0"/>
              </a:rPr>
              <a:t>Средний </a:t>
            </a:r>
            <a:r>
              <a:rPr lang="en-US" sz="900" b="1">
                <a:solidFill>
                  <a:schemeClr val="bg1"/>
                </a:solidFill>
                <a:latin typeface="Bahnschrift" panose="020B0502040204020203" pitchFamily="34" charset="0"/>
              </a:rPr>
              <a:t>KPI </a:t>
            </a:r>
            <a:r>
              <a:rPr lang="ru-RU" sz="900" b="1">
                <a:solidFill>
                  <a:schemeClr val="bg1"/>
                </a:solidFill>
                <a:latin typeface="Bahnschrift" panose="020B0502040204020203" pitchFamily="34" charset="0"/>
              </a:rPr>
              <a:t>команды</a:t>
            </a:r>
            <a:endParaRPr lang="en-US" sz="900" b="1">
              <a:solidFill>
                <a:schemeClr val="bg1"/>
              </a:solidFill>
              <a:latin typeface="Bahnschrift" panose="020B0502040204020203" pitchFamily="34" charset="0"/>
            </a:endParaRPr>
          </a:p>
        </xdr:txBody>
      </xdr:sp>
      <xdr:sp macro="" textlink="Данные!AK4">
        <xdr:nvSpPr>
          <xdr:cNvPr id="16" name="TextBox 15">
            <a:extLst>
              <a:ext uri="{FF2B5EF4-FFF2-40B4-BE49-F238E27FC236}">
                <a16:creationId xmlns:a16="http://schemas.microsoft.com/office/drawing/2014/main" xmlns="" id="{DD27663D-D0E9-951D-1E66-48CBCE1AE37B}"/>
              </a:ext>
            </a:extLst>
          </xdr:cNvPr>
          <xdr:cNvSpPr txBox="1"/>
        </xdr:nvSpPr>
        <xdr:spPr>
          <a:xfrm>
            <a:off x="434812" y="1166447"/>
            <a:ext cx="1963614" cy="42203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36000" rIns="36000" bIns="36000" rtlCol="0" anchor="ctr">
            <a:noAutofit/>
          </a:bodyPr>
          <a:lstStyle/>
          <a:p>
            <a:pPr algn="r"/>
            <a:fld id="{1E736EF3-6C10-4051-BCC3-2A5AC3982FB9}" type="TxLink">
              <a:rPr lang="en-US" sz="2800" b="1" i="0" u="none" strike="noStrike">
                <a:solidFill>
                  <a:schemeClr val="bg1"/>
                </a:solidFill>
                <a:latin typeface="Bahnschrift" panose="020B0502040204020203" pitchFamily="34" charset="0"/>
                <a:cs typeface="Arial"/>
              </a:rPr>
              <a:pPr algn="r"/>
              <a:t>93,45</a:t>
            </a:fld>
            <a:endParaRPr lang="en-US" sz="2800" b="1">
              <a:solidFill>
                <a:schemeClr val="bg1"/>
              </a:solidFill>
              <a:latin typeface="Bahnschrift" panose="020B0502040204020203" pitchFamily="34" charset="0"/>
            </a:endParaRPr>
          </a:p>
        </xdr:txBody>
      </xdr:sp>
    </xdr:grpSp>
    <xdr:clientData/>
  </xdr:twoCellAnchor>
  <xdr:twoCellAnchor>
    <xdr:from>
      <xdr:col>1</xdr:col>
      <xdr:colOff>2</xdr:colOff>
      <xdr:row>9</xdr:row>
      <xdr:rowOff>34158</xdr:rowOff>
    </xdr:from>
    <xdr:to>
      <xdr:col>9</xdr:col>
      <xdr:colOff>327721</xdr:colOff>
      <xdr:row>21</xdr:row>
      <xdr:rowOff>119743</xdr:rowOff>
    </xdr:to>
    <xdr:grpSp>
      <xdr:nvGrpSpPr>
        <xdr:cNvPr id="17" name="Group 47">
          <a:extLst>
            <a:ext uri="{FF2B5EF4-FFF2-40B4-BE49-F238E27FC236}">
              <a16:creationId xmlns:a16="http://schemas.microsoft.com/office/drawing/2014/main" xmlns="" id="{C11AC232-82FE-4485-B07F-AF44F666A7BE}"/>
            </a:ext>
          </a:extLst>
        </xdr:cNvPr>
        <xdr:cNvGrpSpPr/>
      </xdr:nvGrpSpPr>
      <xdr:grpSpPr>
        <a:xfrm>
          <a:off x="858458" y="1606386"/>
          <a:ext cx="11265795" cy="2448749"/>
          <a:chOff x="259978" y="1903376"/>
          <a:chExt cx="11351894" cy="3120061"/>
        </a:xfrm>
      </xdr:grpSpPr>
      <xdr:sp macro="" textlink="">
        <xdr:nvSpPr>
          <xdr:cNvPr id="18" name="Rectangle 36">
            <a:extLst>
              <a:ext uri="{FF2B5EF4-FFF2-40B4-BE49-F238E27FC236}">
                <a16:creationId xmlns:a16="http://schemas.microsoft.com/office/drawing/2014/main" xmlns="" id="{E2A12B8B-64DA-A62A-13EF-ED90D54C92C8}"/>
              </a:ext>
            </a:extLst>
          </xdr:cNvPr>
          <xdr:cNvSpPr/>
        </xdr:nvSpPr>
        <xdr:spPr>
          <a:xfrm>
            <a:off x="259978" y="2000410"/>
            <a:ext cx="4728295" cy="3023027"/>
          </a:xfrm>
          <a:prstGeom prst="rect">
            <a:avLst/>
          </a:prstGeom>
          <a:solidFill>
            <a:srgbClr val="28323C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graphicFrame macro="">
        <xdr:nvGraphicFramePr>
          <xdr:cNvPr id="19" name="Chart 35">
            <a:extLst>
              <a:ext uri="{FF2B5EF4-FFF2-40B4-BE49-F238E27FC236}">
                <a16:creationId xmlns:a16="http://schemas.microsoft.com/office/drawing/2014/main" xmlns="" id="{3D5C5464-5F3A-A285-B2FB-3D06D857DEEC}"/>
              </a:ext>
            </a:extLst>
          </xdr:cNvPr>
          <xdr:cNvGraphicFramePr>
            <a:graphicFrameLocks/>
          </xdr:cNvGraphicFramePr>
        </xdr:nvGraphicFramePr>
        <xdr:xfrm>
          <a:off x="353293" y="2474259"/>
          <a:ext cx="4630009" cy="250279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20" name="TextBox 19">
            <a:extLst>
              <a:ext uri="{FF2B5EF4-FFF2-40B4-BE49-F238E27FC236}">
                <a16:creationId xmlns:a16="http://schemas.microsoft.com/office/drawing/2014/main" xmlns="" id="{0399F219-E6B3-9233-EC02-E63B4EBEB0CE}"/>
              </a:ext>
            </a:extLst>
          </xdr:cNvPr>
          <xdr:cNvSpPr txBox="1"/>
        </xdr:nvSpPr>
        <xdr:spPr>
          <a:xfrm>
            <a:off x="1478342" y="2142564"/>
            <a:ext cx="1964829" cy="21036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36000" rIns="36000" bIns="36000" rtlCol="0" anchor="ctr">
            <a:noAutofit/>
          </a:bodyPr>
          <a:lstStyle/>
          <a:p>
            <a:pPr algn="l"/>
            <a:r>
              <a:rPr lang="ru-RU" sz="900" b="1">
                <a:solidFill>
                  <a:schemeClr val="bg1"/>
                </a:solidFill>
                <a:latin typeface="Bahnschrift" panose="020B0502040204020203" pitchFamily="34" charset="0"/>
              </a:rPr>
              <a:t>Факт по участникам (сумма)</a:t>
            </a:r>
            <a:endParaRPr lang="en-US" sz="900" b="1">
              <a:solidFill>
                <a:schemeClr val="bg1"/>
              </a:solidFill>
              <a:latin typeface="Bahnschrift" panose="020B0502040204020203" pitchFamily="34" charset="0"/>
            </a:endParaRPr>
          </a:p>
        </xdr:txBody>
      </xdr:sp>
      <xdr:sp macro="" textlink="">
        <xdr:nvSpPr>
          <xdr:cNvPr id="21" name="TextBox 20">
            <a:extLst>
              <a:ext uri="{FF2B5EF4-FFF2-40B4-BE49-F238E27FC236}">
                <a16:creationId xmlns:a16="http://schemas.microsoft.com/office/drawing/2014/main" xmlns="" id="{27A08B37-70A0-9A00-F55A-E74FAD387DD9}"/>
              </a:ext>
            </a:extLst>
          </xdr:cNvPr>
          <xdr:cNvSpPr txBox="1"/>
        </xdr:nvSpPr>
        <xdr:spPr>
          <a:xfrm>
            <a:off x="10244919" y="1903376"/>
            <a:ext cx="1366953" cy="34790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36000" rIns="36000" bIns="36000" rtlCol="0" anchor="ctr">
            <a:noAutofit/>
          </a:bodyPr>
          <a:lstStyle/>
          <a:p>
            <a:pPr algn="ctr"/>
            <a:endParaRPr lang="en-US" sz="900" b="1">
              <a:solidFill>
                <a:schemeClr val="bg1"/>
              </a:solidFill>
              <a:latin typeface="Bahnschrift" panose="020B0502040204020203" pitchFamily="34" charset="0"/>
            </a:endParaRPr>
          </a:p>
        </xdr:txBody>
      </xdr:sp>
    </xdr:grpSp>
    <xdr:clientData/>
  </xdr:twoCellAnchor>
  <xdr:twoCellAnchor>
    <xdr:from>
      <xdr:col>3</xdr:col>
      <xdr:colOff>1062547</xdr:colOff>
      <xdr:row>9</xdr:row>
      <xdr:rowOff>114089</xdr:rowOff>
    </xdr:from>
    <xdr:to>
      <xdr:col>7</xdr:col>
      <xdr:colOff>465783</xdr:colOff>
      <xdr:row>21</xdr:row>
      <xdr:rowOff>124335</xdr:rowOff>
    </xdr:to>
    <xdr:grpSp>
      <xdr:nvGrpSpPr>
        <xdr:cNvPr id="22" name="Group 49">
          <a:extLst>
            <a:ext uri="{FF2B5EF4-FFF2-40B4-BE49-F238E27FC236}">
              <a16:creationId xmlns:a16="http://schemas.microsoft.com/office/drawing/2014/main" xmlns="" id="{35FC9981-A771-436A-A005-C07F74E59582}"/>
            </a:ext>
          </a:extLst>
        </xdr:cNvPr>
        <xdr:cNvGrpSpPr/>
      </xdr:nvGrpSpPr>
      <xdr:grpSpPr>
        <a:xfrm>
          <a:off x="5721357" y="1686317"/>
          <a:ext cx="5269768" cy="2373410"/>
          <a:chOff x="5342719" y="2005397"/>
          <a:chExt cx="4720650" cy="3031741"/>
        </a:xfrm>
      </xdr:grpSpPr>
      <xdr:graphicFrame macro="">
        <xdr:nvGraphicFramePr>
          <xdr:cNvPr id="23" name="Chart 45">
            <a:extLst>
              <a:ext uri="{FF2B5EF4-FFF2-40B4-BE49-F238E27FC236}">
                <a16:creationId xmlns:a16="http://schemas.microsoft.com/office/drawing/2014/main" xmlns="" id="{8C55D69B-5BDE-D6F8-0382-BA32E94A55DD}"/>
              </a:ext>
            </a:extLst>
          </xdr:cNvPr>
          <xdr:cNvGraphicFramePr>
            <a:graphicFrameLocks/>
          </xdr:cNvGraphicFramePr>
        </xdr:nvGraphicFramePr>
        <xdr:xfrm>
          <a:off x="5342719" y="2005397"/>
          <a:ext cx="4720650" cy="303174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xmlns="" id="{64D2D5CF-E33D-B5BF-2248-2854F069203D}"/>
              </a:ext>
            </a:extLst>
          </xdr:cNvPr>
          <xdr:cNvSpPr txBox="1"/>
        </xdr:nvSpPr>
        <xdr:spPr>
          <a:xfrm>
            <a:off x="6261046" y="2149189"/>
            <a:ext cx="1959372" cy="21081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36000" rIns="36000" bIns="36000" rtlCol="0" anchor="ctr">
            <a:noAutofit/>
          </a:bodyPr>
          <a:lstStyle/>
          <a:p>
            <a:pPr algn="l"/>
            <a:r>
              <a:rPr lang="ru-RU" sz="900" b="1">
                <a:solidFill>
                  <a:schemeClr val="bg1"/>
                </a:solidFill>
                <a:latin typeface="Bahnschrift" panose="020B0502040204020203" pitchFamily="34" charset="0"/>
              </a:rPr>
              <a:t>Динамика по неделям</a:t>
            </a:r>
            <a:endParaRPr lang="en-US" sz="900" b="1">
              <a:solidFill>
                <a:schemeClr val="bg1"/>
              </a:solidFill>
              <a:latin typeface="Bahnschrift" panose="020B0502040204020203" pitchFamily="34" charset="0"/>
            </a:endParaRPr>
          </a:p>
        </xdr:txBody>
      </xdr:sp>
    </xdr:grpSp>
    <xdr:clientData/>
  </xdr:twoCellAnchor>
  <xdr:twoCellAnchor>
    <xdr:from>
      <xdr:col>1</xdr:col>
      <xdr:colOff>10885</xdr:colOff>
      <xdr:row>23</xdr:row>
      <xdr:rowOff>2492</xdr:rowOff>
    </xdr:from>
    <xdr:to>
      <xdr:col>8</xdr:col>
      <xdr:colOff>942</xdr:colOff>
      <xdr:row>31</xdr:row>
      <xdr:rowOff>65313</xdr:rowOff>
    </xdr:to>
    <xdr:sp macro="" textlink="">
      <xdr:nvSpPr>
        <xdr:cNvPr id="25" name="Rectangle 50">
          <a:extLst>
            <a:ext uri="{FF2B5EF4-FFF2-40B4-BE49-F238E27FC236}">
              <a16:creationId xmlns:a16="http://schemas.microsoft.com/office/drawing/2014/main" xmlns="" id="{31F44C3A-4630-4BCD-A88E-F1E9312E91A9}"/>
            </a:ext>
          </a:extLst>
        </xdr:cNvPr>
        <xdr:cNvSpPr/>
      </xdr:nvSpPr>
      <xdr:spPr>
        <a:xfrm>
          <a:off x="910998" y="4222067"/>
          <a:ext cx="10229432" cy="1734459"/>
        </a:xfrm>
        <a:prstGeom prst="rect">
          <a:avLst/>
        </a:prstGeom>
        <a:solidFill>
          <a:srgbClr val="28323C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37458</xdr:colOff>
      <xdr:row>25</xdr:row>
      <xdr:rowOff>141702</xdr:rowOff>
    </xdr:from>
    <xdr:to>
      <xdr:col>2</xdr:col>
      <xdr:colOff>1049872</xdr:colOff>
      <xdr:row>30</xdr:row>
      <xdr:rowOff>368949</xdr:rowOff>
    </xdr:to>
    <xdr:graphicFrame macro="">
      <xdr:nvGraphicFramePr>
        <xdr:cNvPr id="26" name="Chart 52">
          <a:extLst>
            <a:ext uri="{FF2B5EF4-FFF2-40B4-BE49-F238E27FC236}">
              <a16:creationId xmlns:a16="http://schemas.microsoft.com/office/drawing/2014/main" xmlns="" id="{56730145-A9F9-4D7B-A6EE-FE319CE32B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1505387</xdr:colOff>
      <xdr:row>25</xdr:row>
      <xdr:rowOff>142416</xdr:rowOff>
    </xdr:from>
    <xdr:to>
      <xdr:col>2</xdr:col>
      <xdr:colOff>3145906</xdr:colOff>
      <xdr:row>30</xdr:row>
      <xdr:rowOff>369663</xdr:rowOff>
    </xdr:to>
    <xdr:graphicFrame macro="">
      <xdr:nvGraphicFramePr>
        <xdr:cNvPr id="27" name="Chart 53">
          <a:extLst>
            <a:ext uri="{FF2B5EF4-FFF2-40B4-BE49-F238E27FC236}">
              <a16:creationId xmlns:a16="http://schemas.microsoft.com/office/drawing/2014/main" xmlns="" id="{CF3AD7A7-841A-44C6-8E7B-7D5B7A1394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618476</xdr:colOff>
      <xdr:row>25</xdr:row>
      <xdr:rowOff>134486</xdr:rowOff>
    </xdr:from>
    <xdr:to>
      <xdr:col>4</xdr:col>
      <xdr:colOff>319513</xdr:colOff>
      <xdr:row>30</xdr:row>
      <xdr:rowOff>361733</xdr:rowOff>
    </xdr:to>
    <xdr:graphicFrame macro="">
      <xdr:nvGraphicFramePr>
        <xdr:cNvPr id="28" name="Chart 54">
          <a:extLst>
            <a:ext uri="{FF2B5EF4-FFF2-40B4-BE49-F238E27FC236}">
              <a16:creationId xmlns:a16="http://schemas.microsoft.com/office/drawing/2014/main" xmlns="" id="{EDFD64AA-E686-412A-95C0-4E68A7B43F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684969</xdr:colOff>
      <xdr:row>25</xdr:row>
      <xdr:rowOff>120768</xdr:rowOff>
    </xdr:from>
    <xdr:to>
      <xdr:col>5</xdr:col>
      <xdr:colOff>1023750</xdr:colOff>
      <xdr:row>30</xdr:row>
      <xdr:rowOff>348015</xdr:rowOff>
    </xdr:to>
    <xdr:graphicFrame macro="">
      <xdr:nvGraphicFramePr>
        <xdr:cNvPr id="29" name="Chart 55">
          <a:extLst>
            <a:ext uri="{FF2B5EF4-FFF2-40B4-BE49-F238E27FC236}">
              <a16:creationId xmlns:a16="http://schemas.microsoft.com/office/drawing/2014/main" xmlns="" id="{EAB78D79-F095-4025-9CF4-3DA5BA462E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901080</xdr:colOff>
      <xdr:row>25</xdr:row>
      <xdr:rowOff>120768</xdr:rowOff>
    </xdr:from>
    <xdr:to>
      <xdr:col>8</xdr:col>
      <xdr:colOff>2130</xdr:colOff>
      <xdr:row>30</xdr:row>
      <xdr:rowOff>348015</xdr:rowOff>
    </xdr:to>
    <xdr:graphicFrame macro="">
      <xdr:nvGraphicFramePr>
        <xdr:cNvPr id="30" name="Chart 56">
          <a:extLst>
            <a:ext uri="{FF2B5EF4-FFF2-40B4-BE49-F238E27FC236}">
              <a16:creationId xmlns:a16="http://schemas.microsoft.com/office/drawing/2014/main" xmlns="" id="{3058AC3E-0E84-46A1-9854-4583CB04D9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219009</xdr:colOff>
      <xdr:row>30</xdr:row>
      <xdr:rowOff>267807</xdr:rowOff>
    </xdr:from>
    <xdr:to>
      <xdr:col>2</xdr:col>
      <xdr:colOff>868322</xdr:colOff>
      <xdr:row>30</xdr:row>
      <xdr:rowOff>439620</xdr:rowOff>
    </xdr:to>
    <xdr:sp macro="" textlink="Данные!S8">
      <xdr:nvSpPr>
        <xdr:cNvPr id="31" name="TextBox 30">
          <a:extLst>
            <a:ext uri="{FF2B5EF4-FFF2-40B4-BE49-F238E27FC236}">
              <a16:creationId xmlns:a16="http://schemas.microsoft.com/office/drawing/2014/main" xmlns="" id="{22E2BD77-0CDD-4F78-885D-5B138994F823}"/>
            </a:ext>
          </a:extLst>
        </xdr:cNvPr>
        <xdr:cNvSpPr txBox="1"/>
      </xdr:nvSpPr>
      <xdr:spPr>
        <a:xfrm>
          <a:off x="1119122" y="5620857"/>
          <a:ext cx="1368450" cy="1718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36000" rIns="36000" bIns="36000" rtlCol="0" anchor="ctr">
          <a:noAutofit/>
        </a:bodyPr>
        <a:lstStyle/>
        <a:p>
          <a:pPr algn="ctr"/>
          <a:fld id="{6B36506C-D0C4-4DA5-B0E3-2B11D1A49A27}" type="TxLink">
            <a:rPr lang="ru-RU" sz="1000" b="1" i="0" u="none" strike="noStrike">
              <a:solidFill>
                <a:schemeClr val="bg1"/>
              </a:solidFill>
              <a:latin typeface="Bahnschrift" panose="020B0502040204020203" pitchFamily="34" charset="0"/>
              <a:cs typeface="Arial"/>
            </a:rPr>
            <a:pPr algn="ctr"/>
            <a:t>Крипак Ксения</a:t>
          </a:fld>
          <a:endParaRPr lang="en-US" sz="1000" b="1">
            <a:solidFill>
              <a:schemeClr val="bg1"/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2</xdr:col>
      <xdr:colOff>1654471</xdr:colOff>
      <xdr:row>30</xdr:row>
      <xdr:rowOff>257577</xdr:rowOff>
    </xdr:from>
    <xdr:to>
      <xdr:col>2</xdr:col>
      <xdr:colOff>3003072</xdr:colOff>
      <xdr:row>30</xdr:row>
      <xdr:rowOff>432361</xdr:rowOff>
    </xdr:to>
    <xdr:sp macro="" textlink="Данные!S9">
      <xdr:nvSpPr>
        <xdr:cNvPr id="32" name="TextBox 31">
          <a:extLst>
            <a:ext uri="{FF2B5EF4-FFF2-40B4-BE49-F238E27FC236}">
              <a16:creationId xmlns:a16="http://schemas.microsoft.com/office/drawing/2014/main" xmlns="" id="{D5F9A0D1-EFA8-4CE6-871E-3DDB7D0A6ADF}"/>
            </a:ext>
          </a:extLst>
        </xdr:cNvPr>
        <xdr:cNvSpPr txBox="1"/>
      </xdr:nvSpPr>
      <xdr:spPr>
        <a:xfrm>
          <a:off x="3273721" y="5610627"/>
          <a:ext cx="1348601" cy="17478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36000" rIns="36000" bIns="36000" rtlCol="0" anchor="ctr">
          <a:noAutofit/>
        </a:bodyPr>
        <a:lstStyle/>
        <a:p>
          <a:pPr algn="ctr"/>
          <a:fld id="{DBF8DBAD-4441-4E57-9BF7-AFD1E4715A8C}" type="TxLink">
            <a:rPr lang="ru-RU" sz="1000" b="1" i="0" u="none" strike="noStrike">
              <a:solidFill>
                <a:schemeClr val="bg1"/>
              </a:solidFill>
              <a:latin typeface="Bahnschrift" panose="020B0502040204020203" pitchFamily="34" charset="0"/>
              <a:cs typeface="Arial"/>
            </a:rPr>
            <a:pPr algn="ctr"/>
            <a:t>Марущак Анастасия</a:t>
          </a:fld>
          <a:endParaRPr lang="en-US" sz="1000" b="1">
            <a:solidFill>
              <a:schemeClr val="bg1"/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3</xdr:col>
      <xdr:colOff>726896</xdr:colOff>
      <xdr:row>30</xdr:row>
      <xdr:rowOff>260591</xdr:rowOff>
    </xdr:from>
    <xdr:to>
      <xdr:col>4</xdr:col>
      <xdr:colOff>298603</xdr:colOff>
      <xdr:row>30</xdr:row>
      <xdr:rowOff>433774</xdr:rowOff>
    </xdr:to>
    <xdr:sp macro="" textlink="Данные!S10">
      <xdr:nvSpPr>
        <xdr:cNvPr id="33" name="TextBox 32">
          <a:extLst>
            <a:ext uri="{FF2B5EF4-FFF2-40B4-BE49-F238E27FC236}">
              <a16:creationId xmlns:a16="http://schemas.microsoft.com/office/drawing/2014/main" xmlns="" id="{71C9BC8D-1CC7-4C26-9123-B5A7AF2E2ABB}"/>
            </a:ext>
          </a:extLst>
        </xdr:cNvPr>
        <xdr:cNvSpPr txBox="1"/>
      </xdr:nvSpPr>
      <xdr:spPr>
        <a:xfrm>
          <a:off x="5575121" y="5613641"/>
          <a:ext cx="1152857" cy="17318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36000" rIns="36000" bIns="36000" rtlCol="0" anchor="ctr">
          <a:noAutofit/>
        </a:bodyPr>
        <a:lstStyle/>
        <a:p>
          <a:pPr algn="ctr"/>
          <a:fld id="{BD92F5BF-98E3-4739-AB37-023B59F68BBF}" type="TxLink">
            <a:rPr lang="ru-RU" sz="1000" b="1" i="0" u="none" strike="noStrike">
              <a:solidFill>
                <a:schemeClr val="bg1"/>
              </a:solidFill>
              <a:latin typeface="Bahnschrift" panose="020B0502040204020203" pitchFamily="34" charset="0"/>
              <a:cs typeface="Arial"/>
            </a:rPr>
            <a:pPr algn="ctr"/>
            <a:t>Усанов Владислав</a:t>
          </a:fld>
          <a:endParaRPr lang="en-US" sz="1000" b="1">
            <a:solidFill>
              <a:schemeClr val="bg1"/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4</xdr:col>
      <xdr:colOff>828133</xdr:colOff>
      <xdr:row>30</xdr:row>
      <xdr:rowOff>264794</xdr:rowOff>
    </xdr:from>
    <xdr:to>
      <xdr:col>5</xdr:col>
      <xdr:colOff>922229</xdr:colOff>
      <xdr:row>30</xdr:row>
      <xdr:rowOff>436607</xdr:rowOff>
    </xdr:to>
    <xdr:sp macro="" textlink="Данные!S11">
      <xdr:nvSpPr>
        <xdr:cNvPr id="34" name="TextBox 33">
          <a:extLst>
            <a:ext uri="{FF2B5EF4-FFF2-40B4-BE49-F238E27FC236}">
              <a16:creationId xmlns:a16="http://schemas.microsoft.com/office/drawing/2014/main" xmlns="" id="{4F790ACA-E66B-47F1-B35A-8797913A556E}"/>
            </a:ext>
          </a:extLst>
        </xdr:cNvPr>
        <xdr:cNvSpPr txBox="1"/>
      </xdr:nvSpPr>
      <xdr:spPr>
        <a:xfrm>
          <a:off x="7257508" y="5617844"/>
          <a:ext cx="1784784" cy="1718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36000" rIns="36000" bIns="36000" rtlCol="0" anchor="ctr">
          <a:noAutofit/>
        </a:bodyPr>
        <a:lstStyle/>
        <a:p>
          <a:pPr algn="ctr"/>
          <a:fld id="{5B229817-723D-48DD-80FA-2DF4A517179D}" type="TxLink">
            <a:rPr lang="ru-RU" sz="1000" b="1" i="0" u="none" strike="noStrike">
              <a:solidFill>
                <a:schemeClr val="bg1"/>
              </a:solidFill>
              <a:latin typeface="Bahnschrift" panose="020B0502040204020203" pitchFamily="34" charset="0"/>
              <a:cs typeface="Arial"/>
            </a:rPr>
            <a:pPr algn="ctr"/>
            <a:t>Пащенко Анастасия</a:t>
          </a:fld>
          <a:endParaRPr lang="en-US" sz="1000" b="1">
            <a:solidFill>
              <a:schemeClr val="bg1"/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5</xdr:col>
      <xdr:colOff>1424956</xdr:colOff>
      <xdr:row>30</xdr:row>
      <xdr:rowOff>235929</xdr:rowOff>
    </xdr:from>
    <xdr:to>
      <xdr:col>6</xdr:col>
      <xdr:colOff>1052836</xdr:colOff>
      <xdr:row>30</xdr:row>
      <xdr:rowOff>407742</xdr:rowOff>
    </xdr:to>
    <xdr:sp macro="" textlink="Данные!S12">
      <xdr:nvSpPr>
        <xdr:cNvPr id="35" name="TextBox 34">
          <a:extLst>
            <a:ext uri="{FF2B5EF4-FFF2-40B4-BE49-F238E27FC236}">
              <a16:creationId xmlns:a16="http://schemas.microsoft.com/office/drawing/2014/main" xmlns="" id="{B8AB3CCC-2F2B-48EA-A43F-84D6A2BCE45F}"/>
            </a:ext>
          </a:extLst>
        </xdr:cNvPr>
        <xdr:cNvSpPr txBox="1"/>
      </xdr:nvSpPr>
      <xdr:spPr>
        <a:xfrm>
          <a:off x="9545019" y="5588979"/>
          <a:ext cx="1118542" cy="1718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36000" rIns="36000" bIns="36000" rtlCol="0" anchor="ctr">
          <a:noAutofit/>
        </a:bodyPr>
        <a:lstStyle/>
        <a:p>
          <a:pPr algn="ctr"/>
          <a:fld id="{25375A81-5F18-401D-BFE0-885F4F560F90}" type="TxLink">
            <a:rPr lang="ru-RU" sz="1000" b="1" i="0" u="none" strike="noStrike">
              <a:solidFill>
                <a:schemeClr val="bg1"/>
              </a:solidFill>
              <a:latin typeface="Bahnschrift" panose="020B0502040204020203" pitchFamily="34" charset="0"/>
              <a:cs typeface="Arial"/>
            </a:rPr>
            <a:pPr algn="ctr"/>
            <a:t>Кузнецов Никита</a:t>
          </a:fld>
          <a:endParaRPr lang="en-US" sz="1000" b="1">
            <a:solidFill>
              <a:schemeClr val="bg1"/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1</xdr:col>
      <xdr:colOff>173186</xdr:colOff>
      <xdr:row>6</xdr:row>
      <xdr:rowOff>49680</xdr:rowOff>
    </xdr:from>
    <xdr:to>
      <xdr:col>2</xdr:col>
      <xdr:colOff>707159</xdr:colOff>
      <xdr:row>7</xdr:row>
      <xdr:rowOff>151533</xdr:rowOff>
    </xdr:to>
    <xdr:sp macro="" textlink="Данные!AK1">
      <xdr:nvSpPr>
        <xdr:cNvPr id="36" name="TextBox 35">
          <a:extLst>
            <a:ext uri="{FF2B5EF4-FFF2-40B4-BE49-F238E27FC236}">
              <a16:creationId xmlns:a16="http://schemas.microsoft.com/office/drawing/2014/main" xmlns="" id="{99CFF5CC-CBEE-42CB-BE55-D75CE564970E}"/>
            </a:ext>
          </a:extLst>
        </xdr:cNvPr>
        <xdr:cNvSpPr txBox="1"/>
      </xdr:nvSpPr>
      <xdr:spPr>
        <a:xfrm>
          <a:off x="1073299" y="1111718"/>
          <a:ext cx="1253110" cy="26377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36000" rIns="36000" bIns="36000" rtlCol="0" anchor="ctr">
          <a:noAutofit/>
        </a:bodyPr>
        <a:lstStyle/>
        <a:p>
          <a:pPr algn="r"/>
          <a:fld id="{12386EE1-6E48-44E7-817C-1D86FD189FC4}" type="TxLink">
            <a:rPr lang="en-US" sz="2800" b="1" i="0" u="none" strike="noStrike">
              <a:solidFill>
                <a:schemeClr val="bg1"/>
              </a:solidFill>
              <a:latin typeface="Bahnschrift" panose="020B0502040204020203" pitchFamily="34" charset="0"/>
              <a:cs typeface="Arial"/>
            </a:rPr>
            <a:pPr algn="r"/>
            <a:t>70</a:t>
          </a:fld>
          <a:endParaRPr lang="en-US" sz="2800" b="1">
            <a:solidFill>
              <a:schemeClr val="bg1"/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1</xdr:col>
      <xdr:colOff>165966</xdr:colOff>
      <xdr:row>23</xdr:row>
      <xdr:rowOff>151533</xdr:rowOff>
    </xdr:from>
    <xdr:to>
      <xdr:col>7</xdr:col>
      <xdr:colOff>368011</xdr:colOff>
      <xdr:row>25</xdr:row>
      <xdr:rowOff>129886</xdr:rowOff>
    </xdr:to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xmlns="" id="{353C5885-BE0A-445B-BC20-5B2CEF8AF2E2}"/>
            </a:ext>
          </a:extLst>
        </xdr:cNvPr>
        <xdr:cNvSpPr txBox="1"/>
      </xdr:nvSpPr>
      <xdr:spPr>
        <a:xfrm>
          <a:off x="1066079" y="4371108"/>
          <a:ext cx="9965170" cy="30220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36000" rIns="36000" bIns="36000" rtlCol="0" anchor="ctr">
          <a:noAutofit/>
        </a:bodyPr>
        <a:lstStyle/>
        <a:p>
          <a:pPr algn="ctr"/>
          <a:r>
            <a:rPr lang="en-US" sz="1600" b="1" i="0" u="none" strike="noStrike">
              <a:solidFill>
                <a:srgbClr val="FFFFFF"/>
              </a:solidFill>
              <a:latin typeface="Bahnschrift"/>
            </a:rPr>
            <a:t>KPI</a:t>
          </a:r>
          <a:r>
            <a:rPr lang="en-US" sz="1600" b="1" i="0" u="none" strike="noStrike" baseline="0">
              <a:solidFill>
                <a:srgbClr val="FFFFFF"/>
              </a:solidFill>
              <a:latin typeface="Bahnschrift"/>
            </a:rPr>
            <a:t> </a:t>
          </a:r>
          <a:r>
            <a:rPr lang="ru-RU" sz="1600" b="1" i="0" u="none" strike="noStrike" baseline="0">
              <a:solidFill>
                <a:srgbClr val="FFFFFF"/>
              </a:solidFill>
              <a:latin typeface="Bahnschrift"/>
            </a:rPr>
            <a:t>каждого участника (% участия в работе команды за все время)</a:t>
          </a:r>
          <a:endParaRPr lang="ru-RU" sz="1600" b="1" i="0" u="none" strike="noStrike">
            <a:solidFill>
              <a:srgbClr val="FFFFFF"/>
            </a:solidFill>
            <a:latin typeface="Bahnschrift"/>
          </a:endParaRPr>
        </a:p>
      </xdr:txBody>
    </xdr:sp>
    <xdr:clientData/>
  </xdr:twoCellAnchor>
  <xdr:twoCellAnchor>
    <xdr:from>
      <xdr:col>5</xdr:col>
      <xdr:colOff>1306080</xdr:colOff>
      <xdr:row>5</xdr:row>
      <xdr:rowOff>14432</xdr:rowOff>
    </xdr:from>
    <xdr:to>
      <xdr:col>7</xdr:col>
      <xdr:colOff>469032</xdr:colOff>
      <xdr:row>8</xdr:row>
      <xdr:rowOff>41327</xdr:rowOff>
    </xdr:to>
    <xdr:grpSp>
      <xdr:nvGrpSpPr>
        <xdr:cNvPr id="38" name="Group 22">
          <a:extLst>
            <a:ext uri="{FF2B5EF4-FFF2-40B4-BE49-F238E27FC236}">
              <a16:creationId xmlns:a16="http://schemas.microsoft.com/office/drawing/2014/main" xmlns="" id="{C7BE0B62-049E-4183-8F28-1301DADD190A}"/>
            </a:ext>
          </a:extLst>
        </xdr:cNvPr>
        <xdr:cNvGrpSpPr/>
      </xdr:nvGrpSpPr>
      <xdr:grpSpPr>
        <a:xfrm>
          <a:off x="9099700" y="930761"/>
          <a:ext cx="1887054" cy="518819"/>
          <a:chOff x="257911" y="891298"/>
          <a:chExt cx="2230829" cy="783034"/>
        </a:xfrm>
      </xdr:grpSpPr>
      <xdr:sp macro="" textlink="Данные!AK1">
        <xdr:nvSpPr>
          <xdr:cNvPr id="39" name="Rectangle 2">
            <a:extLst>
              <a:ext uri="{FF2B5EF4-FFF2-40B4-BE49-F238E27FC236}">
                <a16:creationId xmlns:a16="http://schemas.microsoft.com/office/drawing/2014/main" xmlns="" id="{C86733D4-05F0-DE37-231B-2AAD5935ADCF}"/>
              </a:ext>
            </a:extLst>
          </xdr:cNvPr>
          <xdr:cNvSpPr/>
        </xdr:nvSpPr>
        <xdr:spPr>
          <a:xfrm>
            <a:off x="257911" y="891298"/>
            <a:ext cx="2230829" cy="783034"/>
          </a:xfrm>
          <a:prstGeom prst="rect">
            <a:avLst/>
          </a:prstGeom>
          <a:solidFill>
            <a:srgbClr val="28323C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118E6892-EC61-4193-807F-60938C99E694}" type="TxLink">
              <a:rPr lang="en-US" sz="1000" b="0" i="0" u="none" strike="noStrike">
                <a:solidFill>
                  <a:srgbClr val="000000"/>
                </a:solidFill>
                <a:latin typeface="Arial"/>
                <a:cs typeface="Arial"/>
              </a:rPr>
              <a:pPr algn="l"/>
              <a:t>70</a:t>
            </a:fld>
            <a:endParaRPr lang="en-US" sz="1100"/>
          </a:p>
        </xdr:txBody>
      </xdr:sp>
      <xdr:sp macro="" textlink="">
        <xdr:nvSpPr>
          <xdr:cNvPr id="40" name="TextBox 39">
            <a:extLst>
              <a:ext uri="{FF2B5EF4-FFF2-40B4-BE49-F238E27FC236}">
                <a16:creationId xmlns:a16="http://schemas.microsoft.com/office/drawing/2014/main" xmlns="" id="{1664E50E-5C04-ACF4-1ED9-30DDCD31113E}"/>
              </a:ext>
            </a:extLst>
          </xdr:cNvPr>
          <xdr:cNvSpPr txBox="1"/>
        </xdr:nvSpPr>
        <xdr:spPr>
          <a:xfrm>
            <a:off x="381001" y="956809"/>
            <a:ext cx="1963614" cy="21120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36000" rIns="36000" bIns="36000" rtlCol="0" anchor="ctr">
            <a:noAutofit/>
          </a:bodyPr>
          <a:lstStyle/>
          <a:p>
            <a:r>
              <a:rPr lang="ru-RU" sz="900" b="1">
                <a:solidFill>
                  <a:schemeClr val="bg1"/>
                </a:solidFill>
                <a:effectLst/>
                <a:latin typeface="Bahnschrift" panose="020B0502040204020203" pitchFamily="34" charset="0"/>
                <a:ea typeface="+mn-ea"/>
                <a:cs typeface="+mn-cs"/>
              </a:rPr>
              <a:t>Вовремя (шт.)</a:t>
            </a:r>
            <a:endParaRPr lang="ru-RU" sz="900">
              <a:solidFill>
                <a:schemeClr val="bg1"/>
              </a:solidFill>
              <a:effectLst/>
              <a:latin typeface="Bahnschrift" panose="020B0502040204020203" pitchFamily="34" charset="0"/>
            </a:endParaRPr>
          </a:p>
        </xdr:txBody>
      </xdr:sp>
    </xdr:grpSp>
    <xdr:clientData/>
  </xdr:twoCellAnchor>
  <xdr:twoCellAnchor>
    <xdr:from>
      <xdr:col>6</xdr:col>
      <xdr:colOff>108238</xdr:colOff>
      <xdr:row>5</xdr:row>
      <xdr:rowOff>129884</xdr:rowOff>
    </xdr:from>
    <xdr:to>
      <xdr:col>7</xdr:col>
      <xdr:colOff>353579</xdr:colOff>
      <xdr:row>8</xdr:row>
      <xdr:rowOff>14429</xdr:rowOff>
    </xdr:to>
    <xdr:sp macro="" textlink="Данные!AK5">
      <xdr:nvSpPr>
        <xdr:cNvPr id="41" name="TextBox 40">
          <a:extLst>
            <a:ext uri="{FF2B5EF4-FFF2-40B4-BE49-F238E27FC236}">
              <a16:creationId xmlns:a16="http://schemas.microsoft.com/office/drawing/2014/main" xmlns="" id="{E2258C4D-62FA-49DB-9C4A-D49E96F7B9BB}"/>
            </a:ext>
          </a:extLst>
        </xdr:cNvPr>
        <xdr:cNvSpPr txBox="1"/>
      </xdr:nvSpPr>
      <xdr:spPr>
        <a:xfrm>
          <a:off x="9718963" y="1029997"/>
          <a:ext cx="1297854" cy="37032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36000" rIns="36000" bIns="36000" rtlCol="0" anchor="ctr">
          <a:noAutofit/>
        </a:bodyPr>
        <a:lstStyle/>
        <a:p>
          <a:pPr algn="r"/>
          <a:fld id="{8C1251EB-D9D5-4C11-BDAE-E64FFD707BF3}" type="TxLink">
            <a:rPr lang="en-US" sz="3200" b="1" i="0" u="none" strike="noStrike">
              <a:solidFill>
                <a:schemeClr val="bg1"/>
              </a:solidFill>
              <a:latin typeface="Bahnschrift" panose="020B0502040204020203" pitchFamily="34" charset="0"/>
              <a:cs typeface="Arial"/>
            </a:rPr>
            <a:pPr algn="r"/>
            <a:t>66</a:t>
          </a:fld>
          <a:endParaRPr lang="ru-RU" sz="3200" b="1" i="0" u="none" strike="noStrike">
            <a:solidFill>
              <a:schemeClr val="bg1"/>
            </a:solidFill>
            <a:latin typeface="Bahnschrift" panose="020B0502040204020203" pitchFamily="34" charset="0"/>
          </a:endParaRPr>
        </a:p>
      </xdr:txBody>
    </xdr:sp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0.29849</cdr:x>
      <cdr:y>0.34674</cdr:y>
    </cdr:from>
    <cdr:to>
      <cdr:x>0.71627</cdr:x>
      <cdr:y>0.65189</cdr:y>
    </cdr:to>
    <cdr:sp macro="" textlink="Данные!$AL$1">
      <cdr:nvSpPr>
        <cdr:cNvPr id="2" name="TextBox 26">
          <a:extLst xmlns:a="http://schemas.openxmlformats.org/drawingml/2006/main">
            <a:ext uri="{FF2B5EF4-FFF2-40B4-BE49-F238E27FC236}">
              <a16:creationId xmlns:a16="http://schemas.microsoft.com/office/drawing/2014/main" xmlns="" id="{A711995E-BCFC-3F86-9EA6-FD1B5EACD383}"/>
            </a:ext>
          </a:extLst>
        </cdr:cNvPr>
        <cdr:cNvSpPr txBox="1"/>
      </cdr:nvSpPr>
      <cdr:spPr>
        <a:xfrm xmlns:a="http://schemas.openxmlformats.org/drawingml/2006/main">
          <a:off x="515007" y="476469"/>
          <a:ext cx="720807" cy="419322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lIns="0" tIns="36000" rIns="36000" bIns="36000" rtlCol="0" anchor="ctr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D684A2F5-EC8B-4E7D-8688-2991815757A8}" type="TxLink">
            <a:rPr lang="en-US" sz="2400" b="1" i="0" u="none" strike="noStrike">
              <a:solidFill>
                <a:srgbClr val="33CCFF"/>
              </a:solidFill>
              <a:latin typeface="Bahnschrift" panose="020B0502040204020203" pitchFamily="34" charset="0"/>
              <a:cs typeface="Arial"/>
            </a:rPr>
            <a:pPr algn="ctr"/>
            <a:t>93</a:t>
          </a:fld>
          <a:endParaRPr lang="en-US" sz="2400" b="1">
            <a:solidFill>
              <a:srgbClr val="33CCFF"/>
            </a:solidFill>
            <a:latin typeface="Bahnschrift" panose="020B0502040204020203" pitchFamily="34" charset="0"/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0.29849</cdr:x>
      <cdr:y>0.34674</cdr:y>
    </cdr:from>
    <cdr:to>
      <cdr:x>0.71627</cdr:x>
      <cdr:y>0.65189</cdr:y>
    </cdr:to>
    <cdr:sp macro="" textlink="Данные!$AL$2">
      <cdr:nvSpPr>
        <cdr:cNvPr id="2" name="TextBox 26">
          <a:extLst xmlns:a="http://schemas.openxmlformats.org/drawingml/2006/main">
            <a:ext uri="{FF2B5EF4-FFF2-40B4-BE49-F238E27FC236}">
              <a16:creationId xmlns:a16="http://schemas.microsoft.com/office/drawing/2014/main" xmlns="" id="{A711995E-BCFC-3F86-9EA6-FD1B5EACD383}"/>
            </a:ext>
          </a:extLst>
        </cdr:cNvPr>
        <cdr:cNvSpPr txBox="1"/>
      </cdr:nvSpPr>
      <cdr:spPr>
        <a:xfrm xmlns:a="http://schemas.openxmlformats.org/drawingml/2006/main">
          <a:off x="489679" y="354020"/>
          <a:ext cx="685376" cy="31155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lIns="0" tIns="36000" rIns="36000" bIns="36000" rtlCol="0" anchor="ctr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911EE541-03C3-4554-91B5-4775699E3FC1}" type="TxLink">
            <a:rPr lang="en-US" sz="2400" b="1" i="0" u="none" strike="noStrike">
              <a:solidFill>
                <a:srgbClr val="33CCFF"/>
              </a:solidFill>
              <a:latin typeface="Bahnschrift" panose="020B0502040204020203" pitchFamily="34" charset="0"/>
              <a:cs typeface="Arial"/>
            </a:rPr>
            <a:pPr algn="ctr"/>
            <a:t>98</a:t>
          </a:fld>
          <a:endParaRPr lang="en-US" sz="2400" b="1">
            <a:solidFill>
              <a:srgbClr val="33CCFF"/>
            </a:solidFill>
            <a:latin typeface="Bahnschrift" panose="020B0502040204020203" pitchFamily="34" charset="0"/>
          </a:endParaRPr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0.29849</cdr:x>
      <cdr:y>0.34674</cdr:y>
    </cdr:from>
    <cdr:to>
      <cdr:x>0.71627</cdr:x>
      <cdr:y>0.65189</cdr:y>
    </cdr:to>
    <cdr:sp macro="" textlink="Данные!$AL$3">
      <cdr:nvSpPr>
        <cdr:cNvPr id="2" name="TextBox 26">
          <a:extLst xmlns:a="http://schemas.openxmlformats.org/drawingml/2006/main">
            <a:ext uri="{FF2B5EF4-FFF2-40B4-BE49-F238E27FC236}">
              <a16:creationId xmlns:a16="http://schemas.microsoft.com/office/drawing/2014/main" xmlns="" id="{A711995E-BCFC-3F86-9EA6-FD1B5EACD383}"/>
            </a:ext>
          </a:extLst>
        </cdr:cNvPr>
        <cdr:cNvSpPr txBox="1"/>
      </cdr:nvSpPr>
      <cdr:spPr>
        <a:xfrm xmlns:a="http://schemas.openxmlformats.org/drawingml/2006/main">
          <a:off x="382462" y="354020"/>
          <a:ext cx="535311" cy="31155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lIns="0" tIns="36000" rIns="36000" bIns="36000" rtlCol="0" anchor="ctr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2734E7E2-0E12-448E-B73C-68274399ABE1}" type="TxLink">
            <a:rPr lang="en-US" sz="2400" b="1" i="0" u="none" strike="noStrike">
              <a:solidFill>
                <a:srgbClr val="33CCFF"/>
              </a:solidFill>
              <a:latin typeface="Bahnschrift" panose="020B0502040204020203" pitchFamily="34" charset="0"/>
              <a:cs typeface="Arial"/>
            </a:rPr>
            <a:pPr algn="ctr"/>
            <a:t>95</a:t>
          </a:fld>
          <a:endParaRPr lang="en-US" sz="2400" b="1">
            <a:solidFill>
              <a:srgbClr val="33CCFF"/>
            </a:solidFill>
            <a:latin typeface="Bahnschrift" panose="020B0502040204020203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0.29849</cdr:x>
      <cdr:y>0.34674</cdr:y>
    </cdr:from>
    <cdr:to>
      <cdr:x>0.71627</cdr:x>
      <cdr:y>0.65189</cdr:y>
    </cdr:to>
    <cdr:sp macro="" textlink="Данные!$AL$4">
      <cdr:nvSpPr>
        <cdr:cNvPr id="2" name="TextBox 26">
          <a:extLst xmlns:a="http://schemas.openxmlformats.org/drawingml/2006/main">
            <a:ext uri="{FF2B5EF4-FFF2-40B4-BE49-F238E27FC236}">
              <a16:creationId xmlns:a16="http://schemas.microsoft.com/office/drawing/2014/main" xmlns="" id="{A711995E-BCFC-3F86-9EA6-FD1B5EACD383}"/>
            </a:ext>
          </a:extLst>
        </cdr:cNvPr>
        <cdr:cNvSpPr txBox="1"/>
      </cdr:nvSpPr>
      <cdr:spPr>
        <a:xfrm xmlns:a="http://schemas.openxmlformats.org/drawingml/2006/main">
          <a:off x="515007" y="476469"/>
          <a:ext cx="720807" cy="419322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lIns="0" tIns="36000" rIns="36000" bIns="36000" rtlCol="0" anchor="ctr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48F0D85E-8CFD-4CC7-8A00-71CE71D392FA}" type="TxLink">
            <a:rPr lang="en-US" sz="2400" b="1" i="0" u="none" strike="noStrike">
              <a:solidFill>
                <a:srgbClr val="33CCFF"/>
              </a:solidFill>
              <a:latin typeface="Bahnschrift" panose="020B0502040204020203" pitchFamily="34" charset="0"/>
              <a:cs typeface="Arial"/>
            </a:rPr>
            <a:pPr algn="ctr"/>
            <a:t>89</a:t>
          </a:fld>
          <a:endParaRPr lang="en-US" sz="2400" b="1">
            <a:solidFill>
              <a:srgbClr val="33CCFF"/>
            </a:solidFill>
            <a:latin typeface="Bahnschrift" panose="020B0502040204020203" pitchFamily="34" charset="0"/>
          </a:endParaRPr>
        </a:p>
      </cdr:txBody>
    </cdr:sp>
  </cdr:relSizeAnchor>
</c:userShapes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0.29849</cdr:x>
      <cdr:y>0.34674</cdr:y>
    </cdr:from>
    <cdr:to>
      <cdr:x>0.71627</cdr:x>
      <cdr:y>0.65189</cdr:y>
    </cdr:to>
    <cdr:sp macro="" textlink="Данные!$AL$5">
      <cdr:nvSpPr>
        <cdr:cNvPr id="2" name="TextBox 26">
          <a:extLst xmlns:a="http://schemas.openxmlformats.org/drawingml/2006/main">
            <a:ext uri="{FF2B5EF4-FFF2-40B4-BE49-F238E27FC236}">
              <a16:creationId xmlns:a16="http://schemas.microsoft.com/office/drawing/2014/main" xmlns="" id="{A711995E-BCFC-3F86-9EA6-FD1B5EACD383}"/>
            </a:ext>
          </a:extLst>
        </cdr:cNvPr>
        <cdr:cNvSpPr txBox="1"/>
      </cdr:nvSpPr>
      <cdr:spPr>
        <a:xfrm xmlns:a="http://schemas.openxmlformats.org/drawingml/2006/main">
          <a:off x="634147" y="354020"/>
          <a:ext cx="887580" cy="31155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lIns="0" tIns="36000" rIns="36000" bIns="36000" rtlCol="0" anchor="ctr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852986A8-0B7D-46F1-AF91-BDFDB0B736F4}" type="TxLink">
            <a:rPr lang="en-US" sz="2400" b="1" i="0" u="none" strike="noStrike">
              <a:solidFill>
                <a:srgbClr val="33CCFF"/>
              </a:solidFill>
              <a:latin typeface="Bahnschrift" panose="020B0502040204020203" pitchFamily="34" charset="0"/>
              <a:cs typeface="Arial"/>
            </a:rPr>
            <a:pPr algn="ctr"/>
            <a:t>94</a:t>
          </a:fld>
          <a:endParaRPr lang="en-US" sz="2400" b="1">
            <a:solidFill>
              <a:srgbClr val="33CCFF"/>
            </a:solidFill>
            <a:latin typeface="Bahnschrift" panose="020B0502040204020203" pitchFamily="34" charset="0"/>
          </a:endParaRPr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enovo/Downloads/Weekly-Status-Dashboard-Template-Templatelab.com_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"/>
      <sheetName val="Helper Sheet"/>
      <sheetName val="Dashboard"/>
      <sheetName val="©"/>
    </sheetNames>
    <sheetDataSet>
      <sheetData sheetId="0"/>
      <sheetData sheetId="1">
        <row r="8">
          <cell r="A8">
            <v>45462</v>
          </cell>
        </row>
        <row r="9">
          <cell r="A9">
            <v>45463</v>
          </cell>
        </row>
        <row r="10">
          <cell r="A10">
            <v>45464</v>
          </cell>
        </row>
        <row r="11">
          <cell r="A11">
            <v>45465</v>
          </cell>
        </row>
        <row r="12">
          <cell r="A12">
            <v>45466</v>
          </cell>
        </row>
        <row r="13">
          <cell r="A13">
            <v>45467</v>
          </cell>
        </row>
        <row r="14">
          <cell r="A14">
            <v>45468</v>
          </cell>
        </row>
      </sheetData>
      <sheetData sheetId="2"/>
      <sheetData sheetId="3"/>
    </sheetDataSet>
  </externalBook>
</externalLink>
</file>

<file path=xl/tables/table1.xml><?xml version="1.0" encoding="utf-8"?>
<table xmlns="http://schemas.openxmlformats.org/spreadsheetml/2006/main" id="6" name="Таблица2" displayName="Таблица2" ref="G2:I6">
  <tableColumns count="3">
    <tableColumn id="1" name="Раздел"/>
    <tableColumn id="2" name="Содержание"/>
    <tableColumn id="3" name="Источники"/>
  </tableColumns>
  <tableStyleInfo name="БРПО-style" showFirstColumn="1" showLastColumn="1" showRowStripes="1" showColumnStripes="0"/>
</table>
</file>

<file path=xl/tables/table2.xml><?xml version="1.0" encoding="utf-8"?>
<table xmlns="http://schemas.openxmlformats.org/spreadsheetml/2006/main" id="7" name="Таблица3" displayName="Таблица3" ref="G9:I13">
  <tableColumns count="3">
    <tableColumn id="1" name="Раздел"/>
    <tableColumn id="2" name="Содержание"/>
    <tableColumn id="3" name="Источники"/>
  </tableColumns>
  <tableStyleInfo name="БРПО-style 2" showFirstColumn="1" showLastColumn="1" showRowStripes="1" showColumnStripes="0"/>
</table>
</file>

<file path=xl/tables/table3.xml><?xml version="1.0" encoding="utf-8"?>
<table xmlns="http://schemas.openxmlformats.org/spreadsheetml/2006/main" id="8" name="Таблица4" displayName="Таблица4" ref="G16:I20">
  <tableColumns count="3">
    <tableColumn id="1" name="Раздел"/>
    <tableColumn id="2" name="Содержание"/>
    <tableColumn id="3" name="Источники"/>
  </tableColumns>
  <tableStyleInfo name="БРПО-style 3" showFirstColumn="1" showLastColumn="1" showRowStripes="1" showColumnStripes="0"/>
</table>
</file>

<file path=xl/tables/table4.xml><?xml version="1.0" encoding="utf-8"?>
<table xmlns="http://schemas.openxmlformats.org/spreadsheetml/2006/main" id="9" name="Таблица1" displayName="Таблица1" ref="A22:F29">
  <tableColumns count="6">
    <tableColumn id="1" name="Этап"/>
    <tableColumn id="2" name="Общее описание (Secure SDLC)"/>
    <tableColumn id="3" name="Kaspersky Endpoint Security (KES)"/>
    <tableColumn id="4" name="Kaspersky Industrial CyberSecurity (KICS)"/>
    <tableColumn id="5" name="Kaspersky Security Center (KSC)"/>
    <tableColumn id="6" name="Источники"/>
  </tableColumns>
  <tableStyleInfo name="БРПО-style 4" showFirstColumn="1" showLastColumn="1" showRowStripes="1" showColumnStripes="0"/>
</table>
</file>

<file path=xl/tables/table5.xml><?xml version="1.0" encoding="utf-8"?>
<table xmlns="http://schemas.openxmlformats.org/spreadsheetml/2006/main" id="10" name="Таблица5" displayName="Таблица5" ref="A32:B39">
  <tableColumns count="2">
    <tableColumn id="1" name="Этап"/>
    <tableColumn id="2" name="Общее описание (Secure SDLC)"/>
  </tableColumns>
  <tableStyleInfo name="БРПО-style 5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support.kaspersky.com/ksc/14/en-US/183925.htm" TargetMode="External"/><Relationship Id="rId18" Type="http://schemas.openxmlformats.org/officeDocument/2006/relationships/hyperlink" Target="https://docs.cntd.ru/document/1310017763?utm_source=chatgpt.com" TargetMode="External"/><Relationship Id="rId26" Type="http://schemas.openxmlformats.org/officeDocument/2006/relationships/hyperlink" Target="https://content.kaspersky-labs.com/se/media/ru/enterprise-security/KICS_tech_overview_RU_A5.pdf?utm_source=chatgpt.com" TargetMode="External"/><Relationship Id="rId39" Type="http://schemas.openxmlformats.org/officeDocument/2006/relationships/hyperlink" Target="https://docs.cntd.ru/document/1310017763?utm_source=chatgpt.com" TargetMode="External"/><Relationship Id="rId21" Type="http://schemas.openxmlformats.org/officeDocument/2006/relationships/hyperlink" Target="https://content.kaspersky-labs.com/se/media/ru/enterprise-security/KICS_tech_overview_RU_A5.pdf?utm_source=chatgpt.com" TargetMode="External"/><Relationship Id="rId34" Type="http://schemas.openxmlformats.org/officeDocument/2006/relationships/hyperlink" Target="https://docs.cntd.ru/document/1310017763?utm_source=chatgpt.com" TargetMode="External"/><Relationship Id="rId42" Type="http://schemas.openxmlformats.org/officeDocument/2006/relationships/hyperlink" Target="https://support.kaspersky.com/KSC/CloudConsole/ru-RU/183915.htm?utm_source=chatgpt.com" TargetMode="External"/><Relationship Id="rId47" Type="http://schemas.openxmlformats.org/officeDocument/2006/relationships/hyperlink" Target="https://help.kaspersky.com/ksc/14.2/ru-RU/?utm_source=chatgpt.com" TargetMode="External"/><Relationship Id="rId50" Type="http://schemas.openxmlformats.org/officeDocument/2006/relationships/hyperlink" Target="https://media.kaspersky.com/en/enterprise-security/From-code-to-customer-white-paper.pdf?utm_source=chatgpt.com" TargetMode="External"/><Relationship Id="rId55" Type="http://schemas.openxmlformats.org/officeDocument/2006/relationships/hyperlink" Target="https://support.kaspersky.com/KSC/CloudConsole/en-US/182760.htm?utm_source=chatgpt.com" TargetMode="External"/><Relationship Id="rId63" Type="http://schemas.openxmlformats.org/officeDocument/2006/relationships/table" Target="../tables/table4.xml"/><Relationship Id="rId7" Type="http://schemas.openxmlformats.org/officeDocument/2006/relationships/hyperlink" Target="https://www.kaspersky.com/enterprise-security/industrial-cybersecurity?utm_source=chatgpt.com" TargetMode="External"/><Relationship Id="rId2" Type="http://schemas.openxmlformats.org/officeDocument/2006/relationships/hyperlink" Target="https://www.kaspersky.com/blog/devops-security-hybrid/36021/" TargetMode="External"/><Relationship Id="rId16" Type="http://schemas.openxmlformats.org/officeDocument/2006/relationships/hyperlink" Target="https://www.kaspersky.ru/enterprise-security/industrial-cybersecurity?utm_source=chatgpt.com" TargetMode="External"/><Relationship Id="rId29" Type="http://schemas.openxmlformats.org/officeDocument/2006/relationships/hyperlink" Target="https://securelist.ru/podvodny-e-kamni-dinamicheskogo-testi/1138/?utm_source=chatgpt.com" TargetMode="External"/><Relationship Id="rId11" Type="http://schemas.openxmlformats.org/officeDocument/2006/relationships/hyperlink" Target="https://support.kaspersky.com/KSC/15.1/en-US/Kaspersky%20Security%20Center%2015.1%20Windows-English.pdf" TargetMode="External"/><Relationship Id="rId24" Type="http://schemas.openxmlformats.org/officeDocument/2006/relationships/hyperlink" Target="https://media.kaspersky.com/en/enterprise-security/From-code-to-customer-white-paper.pdf?utm_source=chatgpt.com" TargetMode="External"/><Relationship Id="rId32" Type="http://schemas.openxmlformats.org/officeDocument/2006/relationships/hyperlink" Target="https://support.kaspersky.com/ksc/14/ru-RU/181095.htm?utm_source=chatgpt.com" TargetMode="External"/><Relationship Id="rId37" Type="http://schemas.openxmlformats.org/officeDocument/2006/relationships/hyperlink" Target="https://www.kaspersky.ru/small-to-medium-business-security/security-center?utm_source=chatgpt.com" TargetMode="External"/><Relationship Id="rId40" Type="http://schemas.openxmlformats.org/officeDocument/2006/relationships/hyperlink" Target="https://www.kaspersky.ru/enterprise-security/wiki-section/products/fileless-threats-protection?utm_source=chatgpt.com" TargetMode="External"/><Relationship Id="rId45" Type="http://schemas.openxmlformats.org/officeDocument/2006/relationships/hyperlink" Target="https://www.kaspersky.ru/small-to-medium-business-security/security-center?utm_source=chatgpt.com" TargetMode="External"/><Relationship Id="rId53" Type="http://schemas.openxmlformats.org/officeDocument/2006/relationships/hyperlink" Target="https://www.kaspersky.com/about/press-releases/kaspersky-launches-specialized-security-solution-for-containerized-environments?utm_source=chatgpt.com" TargetMode="External"/><Relationship Id="rId58" Type="http://schemas.openxmlformats.org/officeDocument/2006/relationships/printerSettings" Target="../printerSettings/printerSettings1.bin"/><Relationship Id="rId5" Type="http://schemas.openxmlformats.org/officeDocument/2006/relationships/hyperlink" Target="https://www.kaspersky.ru/small-to-medium-business-security/cloud" TargetMode="External"/><Relationship Id="rId61" Type="http://schemas.openxmlformats.org/officeDocument/2006/relationships/table" Target="../tables/table2.xml"/><Relationship Id="rId19" Type="http://schemas.openxmlformats.org/officeDocument/2006/relationships/hyperlink" Target="https://media.kaspersky.com/en/enterprise-security/From-code-to-customer-white-paper.pdf?utm_source=chatgpt.com" TargetMode="External"/><Relationship Id="rId14" Type="http://schemas.openxmlformats.org/officeDocument/2006/relationships/hyperlink" Target="https://docs.cntd.ru/document/1310017763?utm_source=chatgpt.com" TargetMode="External"/><Relationship Id="rId22" Type="http://schemas.openxmlformats.org/officeDocument/2006/relationships/hyperlink" Target="https://www.kaspersky.ru/small-to-medium-business-security/security-center?utm_source=chatgpt.com" TargetMode="External"/><Relationship Id="rId27" Type="http://schemas.openxmlformats.org/officeDocument/2006/relationships/hyperlink" Target="https://support.kaspersky.ru/ksc/14.2/182643?utm_source=chatgpt.com" TargetMode="External"/><Relationship Id="rId30" Type="http://schemas.openxmlformats.org/officeDocument/2006/relationships/hyperlink" Target="https://www.kaspersky.ru/small-to-medium-business-security/endpoint-advanced?utm_source=chatgpt.com" TargetMode="External"/><Relationship Id="rId35" Type="http://schemas.openxmlformats.org/officeDocument/2006/relationships/hyperlink" Target="https://support.kaspersky.com/help/keswin/12.5/ru-RU/176801.htm?utm_source=chatgpt.com" TargetMode="External"/><Relationship Id="rId43" Type="http://schemas.openxmlformats.org/officeDocument/2006/relationships/hyperlink" Target="https://www.kaspersky.ru/enterprise-security/wiki-section/products/fileless-threats-protection?utm_source=chatgpt.com" TargetMode="External"/><Relationship Id="rId48" Type="http://schemas.openxmlformats.org/officeDocument/2006/relationships/hyperlink" Target="https://docs.cntd.ru/document/1310017763?utm_source=chatgpt.com" TargetMode="External"/><Relationship Id="rId56" Type="http://schemas.openxmlformats.org/officeDocument/2006/relationships/hyperlink" Target="https://support.kaspersky.com/ksc/14.0/172841?utm_source=chatgpt.com" TargetMode="External"/><Relationship Id="rId64" Type="http://schemas.openxmlformats.org/officeDocument/2006/relationships/table" Target="../tables/table5.xml"/><Relationship Id="rId8" Type="http://schemas.openxmlformats.org/officeDocument/2006/relationships/hyperlink" Target="https://support.kaspersky.com/kics-for-networks/4.1/134912" TargetMode="External"/><Relationship Id="rId51" Type="http://schemas.openxmlformats.org/officeDocument/2006/relationships/hyperlink" Target="https://media.kaspersky.com/en/enterprise-security/Generic_Product_Whitepaper_Securing_your_security_Customer_0721_EN_GLB.pdf?utm_source=chatgpt.com" TargetMode="External"/><Relationship Id="rId3" Type="http://schemas.openxmlformats.org/officeDocument/2006/relationships/hyperlink" Target="https://protect.gost.ru/default.aspx/document1.aspx?baseC=6&amp;control=31&amp;id=263523&amp;month=11&amp;page=1&amp;search&amp;year=2024&amp;utm_source=chatgpt.com" TargetMode="External"/><Relationship Id="rId12" Type="http://schemas.openxmlformats.org/officeDocument/2006/relationships/hyperlink" Target="https://support.kaspersky.com/KSC/15.1/en-US/Kaspersky%20Security%20Center%2015.1%20Windows-English.pdf" TargetMode="External"/><Relationship Id="rId17" Type="http://schemas.openxmlformats.org/officeDocument/2006/relationships/hyperlink" Target="https://www.kaspersky.ru/small-to-medium-business-security/security-center?utm_source=chatgpt.com" TargetMode="External"/><Relationship Id="rId25" Type="http://schemas.openxmlformats.org/officeDocument/2006/relationships/hyperlink" Target="https://support.kaspersky.ru/kes11/214711?utm_source=chatgpt.com" TargetMode="External"/><Relationship Id="rId33" Type="http://schemas.openxmlformats.org/officeDocument/2006/relationships/hyperlink" Target="https://securelist.ru/podvodny-e-kamni-dinamicheskogo-testi/1138/?utm_source=chatgpt.com" TargetMode="External"/><Relationship Id="rId38" Type="http://schemas.openxmlformats.org/officeDocument/2006/relationships/hyperlink" Target="https://docs.cntd.ru/document/1310017763?utm_source=chatgpt.com" TargetMode="External"/><Relationship Id="rId46" Type="http://schemas.openxmlformats.org/officeDocument/2006/relationships/hyperlink" Target="https://support.kaspersky.com/kics-for-networks/4.3/134912?utm_source=chatgpt.com" TargetMode="External"/><Relationship Id="rId59" Type="http://schemas.openxmlformats.org/officeDocument/2006/relationships/drawing" Target="../drawings/drawing1.xml"/><Relationship Id="rId20" Type="http://schemas.openxmlformats.org/officeDocument/2006/relationships/hyperlink" Target="https://www.kaspersky.ru/small-to-medium-business-security/endpoint-advanced?utm_source=chatgpt.com" TargetMode="External"/><Relationship Id="rId41" Type="http://schemas.openxmlformats.org/officeDocument/2006/relationships/hyperlink" Target="https://support.kaspersky.com/kics-for-networks/4.3/134912?utm_source=chatgpt.com" TargetMode="External"/><Relationship Id="rId54" Type="http://schemas.openxmlformats.org/officeDocument/2006/relationships/hyperlink" Target="https://support.kaspersky.com/KSC/CloudConsole/en-US/182671.htm?utm_source=chatgpt.com" TargetMode="External"/><Relationship Id="rId62" Type="http://schemas.openxmlformats.org/officeDocument/2006/relationships/table" Target="../tables/table3.xml"/><Relationship Id="rId1" Type="http://schemas.openxmlformats.org/officeDocument/2006/relationships/hyperlink" Target="https://www.kaspersky.com/small-to-medium-business-security/endpoint-advanced" TargetMode="External"/><Relationship Id="rId6" Type="http://schemas.openxmlformats.org/officeDocument/2006/relationships/hyperlink" Target="https://www.kaspersky.com/enterprise-security/industrial-cybersecurity?utm_source=chatgpt.com" TargetMode="External"/><Relationship Id="rId15" Type="http://schemas.openxmlformats.org/officeDocument/2006/relationships/hyperlink" Target="https://www.kaspersky.ru/small-to-medium-business-security/endpoint-advanced?utm_source=chatgpt.com" TargetMode="External"/><Relationship Id="rId23" Type="http://schemas.openxmlformats.org/officeDocument/2006/relationships/hyperlink" Target="https://media.kaspersky.com/en/enterprise-security/From-code-to-customer-white-paper.pdf?utm_source=chatgpt.com" TargetMode="External"/><Relationship Id="rId28" Type="http://schemas.openxmlformats.org/officeDocument/2006/relationships/hyperlink" Target="https://media.kaspersky.com/en/enterprise-security/From-code-to-customer-white-paper.pdf?utm_source=chatgpt.com" TargetMode="External"/><Relationship Id="rId36" Type="http://schemas.openxmlformats.org/officeDocument/2006/relationships/hyperlink" Target="https://content.kaspersky-labs.com/se/media/ru/enterprise-security/KICS_tech_overview_RU_A5.pdf?utm_source=chatgpt.com" TargetMode="External"/><Relationship Id="rId49" Type="http://schemas.openxmlformats.org/officeDocument/2006/relationships/hyperlink" Target="https://protect.gost.ru/default.aspx/document1.aspx?baseC=6&amp;control=31&amp;id=263523&amp;month=11&amp;page=1&amp;search=&amp;year=2024&amp;utm_source=chatgpt.com" TargetMode="External"/><Relationship Id="rId57" Type="http://schemas.openxmlformats.org/officeDocument/2006/relationships/hyperlink" Target="https://www.kaspersky.com/enterprise-security/resources/white-papers?utm_source=chatgpt.com" TargetMode="External"/><Relationship Id="rId10" Type="http://schemas.openxmlformats.org/officeDocument/2006/relationships/hyperlink" Target="https://www.kaspersky.com/small-to-medium-business-security/security-center" TargetMode="External"/><Relationship Id="rId31" Type="http://schemas.openxmlformats.org/officeDocument/2006/relationships/hyperlink" Target="https://support.kaspersky.com/kics-for-networks/4.3/134912?utm_source=chatgpt.com" TargetMode="External"/><Relationship Id="rId44" Type="http://schemas.openxmlformats.org/officeDocument/2006/relationships/hyperlink" Target="https://docs.cntd.ru/document/1310017763?utm_source=chatgpt.com" TargetMode="External"/><Relationship Id="rId52" Type="http://schemas.openxmlformats.org/officeDocument/2006/relationships/hyperlink" Target="https://os.kaspersky.com/blog/process-requirements-security-objectives-and-threat-modeling/?utm_source=chatgpt.com" TargetMode="External"/><Relationship Id="rId60" Type="http://schemas.openxmlformats.org/officeDocument/2006/relationships/table" Target="../tables/table1.xml"/><Relationship Id="rId4" Type="http://schemas.openxmlformats.org/officeDocument/2006/relationships/hyperlink" Target="https://www.kaspersky.com/kcs" TargetMode="External"/><Relationship Id="rId9" Type="http://schemas.openxmlformats.org/officeDocument/2006/relationships/hyperlink" Target="https://support.kaspersky.com/kics-for-networks/4.1/134912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ciencedirect.com/science/article/pii/S0950584922000568" TargetMode="External"/><Relationship Id="rId18" Type="http://schemas.openxmlformats.org/officeDocument/2006/relationships/hyperlink" Target="https://www.imperva.com/learn/application-security/sast-iast-dast/" TargetMode="External"/><Relationship Id="rId26" Type="http://schemas.openxmlformats.org/officeDocument/2006/relationships/hyperlink" Target="https://www.netcomlearning.com/course/ec-council-ceh-certified-ethical-hacker-v12" TargetMode="External"/><Relationship Id="rId39" Type="http://schemas.openxmlformats.org/officeDocument/2006/relationships/hyperlink" Target="https://www.thefreelibrary.com/SCADA%3B+supervisory+control+and+data+acquisition%2C+4th+ed.-a0253493775" TargetMode="External"/><Relationship Id="rId21" Type="http://schemas.openxmlformats.org/officeDocument/2006/relationships/hyperlink" Target="https://standards.ieee.org/ieee/1028/4402/" TargetMode="External"/><Relationship Id="rId34" Type="http://schemas.openxmlformats.org/officeDocument/2006/relationships/hyperlink" Target="https://csrc.nist.rip/library/alt-SP800-92.pdf" TargetMode="External"/><Relationship Id="rId42" Type="http://schemas.openxmlformats.org/officeDocument/2006/relationships/hyperlink" Target="https://s3.amazonaws.com/assets.paloaltonetworksacademy.net/csg/Endpoint_Security_Technologies_5.pdf" TargetMode="External"/><Relationship Id="rId47" Type="http://schemas.openxmlformats.org/officeDocument/2006/relationships/hyperlink" Target="https://cheatsheetseries.owasp.org/cheatsheets/Secrets_Management_Cheat_Sheet.html" TargetMode="External"/><Relationship Id="rId7" Type="http://schemas.openxmlformats.org/officeDocument/2006/relationships/hyperlink" Target="https://www.atlassian.com/agile/software-development/sdlc" TargetMode="External"/><Relationship Id="rId2" Type="http://schemas.openxmlformats.org/officeDocument/2006/relationships/hyperlink" Target="https://core.ac.uk/download/pdf/287482395.pdf" TargetMode="External"/><Relationship Id="rId16" Type="http://schemas.openxmlformats.org/officeDocument/2006/relationships/hyperlink" Target="https://www.imperva.com/learn/application-security/sast-iast-dast/" TargetMode="External"/><Relationship Id="rId29" Type="http://schemas.openxmlformats.org/officeDocument/2006/relationships/hyperlink" Target="https://unicoms.biz/upload/medialibrary/de0/de05cc590272e746b3ca1e3b258f1262.pdf" TargetMode="External"/><Relationship Id="rId11" Type="http://schemas.openxmlformats.org/officeDocument/2006/relationships/hyperlink" Target="https://pmc.ncbi.nlm.nih.gov/articles/PMC8835693/" TargetMode="External"/><Relationship Id="rId24" Type="http://schemas.openxmlformats.org/officeDocument/2006/relationships/hyperlink" Target="https://cheatsheetseries.owasp.org/cheatsheets/Threat_Modeling_Cheat_Sheet.html" TargetMode="External"/><Relationship Id="rId32" Type="http://schemas.openxmlformats.org/officeDocument/2006/relationships/hyperlink" Target="https://miemagazine.com/sample/IT/IT401-500/IT420/sample-Cryptography%20and%20Network%20Security%20Principles%20and%20Practice%208th%208E.pdf" TargetMode="External"/><Relationship Id="rId37" Type="http://schemas.openxmlformats.org/officeDocument/2006/relationships/hyperlink" Target="https://content.kaspersky-labs.com/se/media/ru/unified-monitorin-and-analysis-platform-datasheet.pdf" TargetMode="External"/><Relationship Id="rId40" Type="http://schemas.openxmlformats.org/officeDocument/2006/relationships/hyperlink" Target="https://npopris.ru/wp-content/uploads/2015/09/%D0%93%D0%9E%D0%A1%D0%A2-34.003-90.pdf" TargetMode="External"/><Relationship Id="rId45" Type="http://schemas.openxmlformats.org/officeDocument/2006/relationships/hyperlink" Target="https://content.kaspersky-labs.com/se/media/en/business-security/enterprise/kics-overview.pdf" TargetMode="External"/><Relationship Id="rId5" Type="http://schemas.openxmlformats.org/officeDocument/2006/relationships/hyperlink" Target="https://journals.sagepub.com/doi/full/10.1177/10506519251326558?utm_source" TargetMode="External"/><Relationship Id="rId15" Type="http://schemas.openxmlformats.org/officeDocument/2006/relationships/hyperlink" Target="https://www.redhat.com/en/topics/devops/what-is-ci-cd" TargetMode="External"/><Relationship Id="rId23" Type="http://schemas.openxmlformats.org/officeDocument/2006/relationships/hyperlink" Target="https://public.magendanz.com/Temp/Threat%20Modeling%20-%20Shostack,%20Adam.pdf" TargetMode="External"/><Relationship Id="rId28" Type="http://schemas.openxmlformats.org/officeDocument/2006/relationships/hyperlink" Target="https://learn.microsoft.com/en-us/compliance/assurance/assurance-microsoft-security-development-lifecycle" TargetMode="External"/><Relationship Id="rId36" Type="http://schemas.openxmlformats.org/officeDocument/2006/relationships/hyperlink" Target="https://www.forrester.com/blogs/introducing-the-forrester-new-tech-extended-detection-and-response-xdr-a-battle-between-precedent-and-innovation/" TargetMode="External"/><Relationship Id="rId49" Type="http://schemas.openxmlformats.org/officeDocument/2006/relationships/printerSettings" Target="../printerSettings/printerSettings3.bin"/><Relationship Id="rId10" Type="http://schemas.openxmlformats.org/officeDocument/2006/relationships/hyperlink" Target="https://journals.sagepub.com/doi/10.1177/87569728241254095" TargetMode="External"/><Relationship Id="rId19" Type="http://schemas.openxmlformats.org/officeDocument/2006/relationships/hyperlink" Target="https://www.ntia.gov/files/ntia/publications/sbom_faq_-_20201116.pdf" TargetMode="External"/><Relationship Id="rId31" Type="http://schemas.openxmlformats.org/officeDocument/2006/relationships/hyperlink" Target="https://www.protokols.ru/WP/wp-content/uploads/2018/08/rfc8446.pdf" TargetMode="External"/><Relationship Id="rId44" Type="http://schemas.openxmlformats.org/officeDocument/2006/relationships/hyperlink" Target="https://support.s.kaspersky-labs.com/cert/11320/%5B69-10%20KSC%5D%5BLinux%5D%20%D1%80%D1%83%D0%BA%D0%BE%D0%B2%D0%BE%D0%B4%D1%81%D1%82%D0%B2%D0%BE%20%D0%BF%D0%BE%20%D1%8D%D0%BA%D1%81%D0%BF%D0%BB%D1%83%D0%B0%D1%82%D0%B0%D1%86%D0%B8%D0%B8.pdf" TargetMode="External"/><Relationship Id="rId4" Type="http://schemas.openxmlformats.org/officeDocument/2006/relationships/hyperlink" Target="https://link.springer.com/chapter/10.1007/978-3-031-70106-1_10?utm_source" TargetMode="External"/><Relationship Id="rId9" Type="http://schemas.openxmlformats.org/officeDocument/2006/relationships/hyperlink" Target="https://www.prince2training.co.uk/blog/project-management-life-cycle" TargetMode="External"/><Relationship Id="rId14" Type="http://schemas.openxmlformats.org/officeDocument/2006/relationships/hyperlink" Target="https://www.redhat.com/en/topics/devops/what-is-ci-cd" TargetMode="External"/><Relationship Id="rId22" Type="http://schemas.openxmlformats.org/officeDocument/2006/relationships/hyperlink" Target="https://dl.ebooksworld.ir/motoman/Pearson.Software.Engineering.10th.Edition.www.EBooksWorld.ir.pdf" TargetMode="External"/><Relationship Id="rId27" Type="http://schemas.openxmlformats.org/officeDocument/2006/relationships/hyperlink" Target="https://csrc.nist.rip/external/nvlpubs.nist.gov/nistpubs/SpecialPublications/NIST.SP.800-218.pdf" TargetMode="External"/><Relationship Id="rId30" Type="http://schemas.openxmlformats.org/officeDocument/2006/relationships/hyperlink" Target="https://www.iso.org/home.html" TargetMode="External"/><Relationship Id="rId35" Type="http://schemas.openxmlformats.org/officeDocument/2006/relationships/hyperlink" Target="https://www.gartner.com/reviews/market/extended-detection-and-response" TargetMode="External"/><Relationship Id="rId43" Type="http://schemas.openxmlformats.org/officeDocument/2006/relationships/hyperlink" Target="https://support.s.kaspersky-labs.com/cert/11320/%5B69-07%20KSC13%5D%20%D0%A0%D1%83%D0%BA%D0%BE%D0%B2%D0%BE%D0%B4%D1%81%D1%82%D0%B2%D0%BE%20%D0%BF%D0%BE%20%D1%8D%D0%BA%D1%81%D0%BF%D0%BB%D1%83%D0%B0%D1%82%D0%B0%D1%86%D0%B8%D0%B8.pdf" TargetMode="External"/><Relationship Id="rId48" Type="http://schemas.openxmlformats.org/officeDocument/2006/relationships/hyperlink" Target="https://protect.gost.ru/v.aspx?control=8&amp;regnum=252117" TargetMode="External"/><Relationship Id="rId8" Type="http://schemas.openxmlformats.org/officeDocument/2006/relationships/hyperlink" Target="https://instituteprojectmanagement.com/blog/project-life-cycle/" TargetMode="External"/><Relationship Id="rId3" Type="http://schemas.openxmlformats.org/officeDocument/2006/relationships/hyperlink" Target="https://sk.sagepub.com/ency/edvol/businesstoday/chpt/centralized-control?utm_source=chatgpt.com" TargetMode="External"/><Relationship Id="rId12" Type="http://schemas.openxmlformats.org/officeDocument/2006/relationships/hyperlink" Target="https://www.sciencedirect.com/science/article/pii/S0950584923000046" TargetMode="External"/><Relationship Id="rId17" Type="http://schemas.openxmlformats.org/officeDocument/2006/relationships/hyperlink" Target="https://www.imperva.com/learn/application-security/sast-iast-dast/" TargetMode="External"/><Relationship Id="rId25" Type="http://schemas.openxmlformats.org/officeDocument/2006/relationships/hyperlink" Target="https://nvlpubs.nist.gov/nistpubs/legacy/sp/nistspecialpublication800-115.pdf" TargetMode="External"/><Relationship Id="rId33" Type="http://schemas.openxmlformats.org/officeDocument/2006/relationships/hyperlink" Target="https://icscsi.org/library/Documents/White_Papers/Gartner%20-%20Magic%20Quadrant%20for%20SIEM%20-%202014.pdf" TargetMode="External"/><Relationship Id="rId38" Type="http://schemas.openxmlformats.org/officeDocument/2006/relationships/hyperlink" Target="https://cdn2.hubspot.net/hubfs/5382318/ISAGCA%20Quick%20Start%20Guide%20FINAL.pdf" TargetMode="External"/><Relationship Id="rId46" Type="http://schemas.openxmlformats.org/officeDocument/2006/relationships/hyperlink" Target="https://cheatsheetseries.owasp.org/cheatsheets/Logging_Cheat_Sheet.html" TargetMode="External"/><Relationship Id="rId20" Type="http://schemas.openxmlformats.org/officeDocument/2006/relationships/hyperlink" Target="https://cdn.standards.iteh.ai/samples/81870/747a8706bbdc4b2f9964febd87ea2e68/ISO-IEC-5962-2021.pdf" TargetMode="External"/><Relationship Id="rId41" Type="http://schemas.openxmlformats.org/officeDocument/2006/relationships/hyperlink" Target="https://www.cisco.com/site/us/en/learn/topics/security/what-is-endpoint-security.html" TargetMode="External"/><Relationship Id="rId1" Type="http://schemas.openxmlformats.org/officeDocument/2006/relationships/hyperlink" Target="https://www.prince2training.co.uk/blog/project-management-life-cycle" TargetMode="External"/><Relationship Id="rId6" Type="http://schemas.openxmlformats.org/officeDocument/2006/relationships/hyperlink" Target="https://aws.amazon.com/what-is/sdlc/?utm_sour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K8"/>
  <sheetViews>
    <sheetView workbookViewId="0">
      <selection activeCell="C9" sqref="C9"/>
    </sheetView>
  </sheetViews>
  <sheetFormatPr defaultColWidth="12.5546875" defaultRowHeight="15.75" customHeight="1"/>
  <cols>
    <col min="1" max="1" width="35.77734375" customWidth="1"/>
    <col min="2" max="2" width="27.88671875" customWidth="1"/>
    <col min="3" max="3" width="7.5546875" customWidth="1"/>
    <col min="4" max="4" width="38.44140625" customWidth="1"/>
    <col min="5" max="11" width="20.44140625" customWidth="1"/>
  </cols>
  <sheetData>
    <row r="1" spans="1:11" ht="54.75" customHeight="1">
      <c r="A1" s="91" t="s">
        <v>0</v>
      </c>
      <c r="B1" s="92"/>
      <c r="C1" s="92"/>
      <c r="D1" s="92"/>
      <c r="E1" s="92"/>
      <c r="F1" s="92"/>
      <c r="G1" s="92"/>
      <c r="H1" s="92"/>
      <c r="I1" s="92"/>
      <c r="J1" s="92"/>
      <c r="K1" s="92"/>
    </row>
    <row r="2" spans="1:11" ht="24.75" customHeight="1">
      <c r="A2" s="1"/>
      <c r="B2" s="1"/>
    </row>
    <row r="3" spans="1:11" ht="24.75" customHeight="1">
      <c r="A3" s="93" t="s">
        <v>1</v>
      </c>
      <c r="B3" s="94"/>
      <c r="D3" s="93" t="s">
        <v>2</v>
      </c>
      <c r="E3" s="94"/>
    </row>
    <row r="4" spans="1:11" ht="24.75" customHeight="1">
      <c r="A4" s="2" t="s">
        <v>3</v>
      </c>
      <c r="B4" s="2" t="s">
        <v>4</v>
      </c>
      <c r="D4" s="2" t="s">
        <v>5</v>
      </c>
      <c r="E4" s="2">
        <v>5</v>
      </c>
    </row>
    <row r="5" spans="1:11" ht="24.75" customHeight="1">
      <c r="A5" s="2" t="s">
        <v>81</v>
      </c>
      <c r="B5" s="2" t="s">
        <v>6</v>
      </c>
      <c r="D5" s="2" t="s">
        <v>7</v>
      </c>
      <c r="E5" s="3">
        <v>45904</v>
      </c>
    </row>
    <row r="6" spans="1:11" ht="24.75" customHeight="1">
      <c r="A6" s="2" t="s">
        <v>8</v>
      </c>
      <c r="B6" s="2" t="s">
        <v>9</v>
      </c>
      <c r="D6" s="2" t="s">
        <v>10</v>
      </c>
      <c r="E6" s="3">
        <v>45932</v>
      </c>
    </row>
    <row r="7" spans="1:11" ht="24.75" customHeight="1">
      <c r="A7" s="2" t="s">
        <v>11</v>
      </c>
      <c r="B7" s="2" t="s">
        <v>12</v>
      </c>
      <c r="D7" s="2" t="s">
        <v>13</v>
      </c>
      <c r="E7" s="2"/>
    </row>
    <row r="8" spans="1:11" ht="24.75" customHeight="1">
      <c r="A8" s="2" t="s">
        <v>14</v>
      </c>
      <c r="B8" s="2" t="s">
        <v>15</v>
      </c>
    </row>
  </sheetData>
  <mergeCells count="3">
    <mergeCell ref="A1:K1"/>
    <mergeCell ref="A3:B3"/>
    <mergeCell ref="D3:E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V1012"/>
  <sheetViews>
    <sheetView tabSelected="1" topLeftCell="A2" zoomScale="70" zoomScaleNormal="70" workbookViewId="0">
      <selection activeCell="E7" sqref="E7"/>
    </sheetView>
  </sheetViews>
  <sheetFormatPr defaultColWidth="12.5546875" defaultRowHeight="15.75" customHeight="1"/>
  <cols>
    <col min="1" max="1" width="59.109375" customWidth="1"/>
    <col min="2" max="2" width="29" customWidth="1"/>
    <col min="3" max="31" width="5" customWidth="1"/>
    <col min="32" max="74" width="3.5546875" customWidth="1"/>
  </cols>
  <sheetData>
    <row r="1" spans="1:74" ht="41.25" customHeight="1">
      <c r="A1" s="95" t="s">
        <v>16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</row>
    <row r="2" spans="1:74" ht="116.25" customHeight="1">
      <c r="A2" s="5"/>
      <c r="B2" s="6" t="s">
        <v>17</v>
      </c>
      <c r="C2" s="7">
        <v>45904</v>
      </c>
      <c r="D2" s="7">
        <v>45905</v>
      </c>
      <c r="E2" s="7">
        <v>45906</v>
      </c>
      <c r="F2" s="7">
        <v>45907</v>
      </c>
      <c r="G2" s="7">
        <v>45908</v>
      </c>
      <c r="H2" s="7">
        <v>45909</v>
      </c>
      <c r="I2" s="7">
        <v>45910</v>
      </c>
      <c r="J2" s="7">
        <v>45911</v>
      </c>
      <c r="K2" s="7">
        <v>45912</v>
      </c>
      <c r="L2" s="7">
        <v>45913</v>
      </c>
      <c r="M2" s="7">
        <v>45914</v>
      </c>
      <c r="N2" s="7">
        <v>45915</v>
      </c>
      <c r="O2" s="7">
        <v>45916</v>
      </c>
      <c r="P2" s="7">
        <v>45917</v>
      </c>
      <c r="Q2" s="7">
        <v>45918</v>
      </c>
      <c r="R2" s="7">
        <v>45919</v>
      </c>
      <c r="S2" s="7">
        <v>45920</v>
      </c>
      <c r="T2" s="7">
        <v>45921</v>
      </c>
      <c r="U2" s="7">
        <v>45922</v>
      </c>
      <c r="V2" s="7">
        <v>45923</v>
      </c>
      <c r="W2" s="7">
        <v>45924</v>
      </c>
      <c r="X2" s="7">
        <v>45925</v>
      </c>
      <c r="Y2" s="7">
        <v>45926</v>
      </c>
      <c r="Z2" s="7">
        <v>45927</v>
      </c>
      <c r="AA2" s="7">
        <v>45928</v>
      </c>
      <c r="AB2" s="7">
        <v>45929</v>
      </c>
      <c r="AC2" s="7">
        <v>45930</v>
      </c>
      <c r="AD2" s="7">
        <v>45931</v>
      </c>
      <c r="AE2" s="7">
        <v>45932</v>
      </c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4"/>
      <c r="BS2" s="4"/>
      <c r="BT2" s="4"/>
      <c r="BU2" s="4"/>
      <c r="BV2" s="4"/>
    </row>
    <row r="3" spans="1:74" ht="30" customHeight="1">
      <c r="A3" s="9" t="s">
        <v>18</v>
      </c>
      <c r="B3" s="10" t="s">
        <v>4</v>
      </c>
      <c r="C3" s="10"/>
      <c r="D3" s="5"/>
      <c r="E3" s="5"/>
      <c r="F3" s="5"/>
      <c r="G3" s="5"/>
      <c r="H3" s="35"/>
      <c r="I3" s="3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11"/>
      <c r="AD3" s="11"/>
      <c r="AE3" s="11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</row>
    <row r="4" spans="1:74" ht="30" customHeight="1">
      <c r="A4" s="9" t="s">
        <v>19</v>
      </c>
      <c r="B4" s="10" t="s">
        <v>4</v>
      </c>
      <c r="C4" s="10"/>
      <c r="D4" s="5"/>
      <c r="E4" s="5"/>
      <c r="F4" s="5"/>
      <c r="G4" s="5"/>
      <c r="H4" s="5"/>
      <c r="I4" s="5"/>
      <c r="J4" s="5"/>
      <c r="K4" s="35"/>
      <c r="L4" s="5"/>
      <c r="M4" s="5"/>
      <c r="N4" s="5"/>
      <c r="O4" s="5"/>
      <c r="P4" s="3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11"/>
      <c r="AD4" s="11"/>
      <c r="AE4" s="11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</row>
    <row r="5" spans="1:74" ht="30" customHeight="1">
      <c r="A5" s="9" t="s">
        <v>20</v>
      </c>
      <c r="B5" s="12" t="s">
        <v>6</v>
      </c>
      <c r="C5" s="12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11"/>
      <c r="AD5" s="11"/>
      <c r="AE5" s="11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</row>
    <row r="6" spans="1:74" ht="30" customHeight="1">
      <c r="A6" s="9" t="s">
        <v>21</v>
      </c>
      <c r="B6" s="12" t="s">
        <v>6</v>
      </c>
      <c r="C6" s="5"/>
      <c r="D6" s="5"/>
      <c r="E6" s="12"/>
      <c r="F6" s="12"/>
      <c r="G6" s="33"/>
      <c r="H6" s="33"/>
      <c r="I6" s="5"/>
      <c r="J6" s="5"/>
      <c r="K6" s="5"/>
      <c r="L6" s="33"/>
      <c r="M6" s="33"/>
      <c r="N6" s="5"/>
      <c r="O6" s="5"/>
      <c r="P6" s="5"/>
      <c r="Q6" s="5"/>
      <c r="R6" s="5"/>
      <c r="S6" s="5"/>
      <c r="T6" s="33"/>
      <c r="U6" s="33"/>
      <c r="V6" s="33"/>
      <c r="W6" s="33"/>
      <c r="X6" s="5"/>
      <c r="Y6" s="5"/>
      <c r="Z6" s="5"/>
      <c r="AA6" s="5"/>
      <c r="AB6" s="5"/>
      <c r="AC6" s="11"/>
      <c r="AD6" s="11"/>
      <c r="AE6" s="11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</row>
    <row r="7" spans="1:74" ht="30" customHeight="1">
      <c r="A7" s="9" t="s">
        <v>467</v>
      </c>
      <c r="B7" s="13" t="s">
        <v>12</v>
      </c>
      <c r="C7" s="13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11"/>
      <c r="AD7" s="11"/>
      <c r="AE7" s="11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</row>
    <row r="8" spans="1:74" ht="30" customHeight="1">
      <c r="A8" s="9" t="s">
        <v>22</v>
      </c>
      <c r="B8" s="10" t="s">
        <v>4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35"/>
      <c r="Q8" s="5"/>
      <c r="R8" s="35"/>
      <c r="S8" s="35"/>
      <c r="T8" s="35"/>
      <c r="U8" s="35"/>
      <c r="V8" s="35"/>
      <c r="W8" s="35"/>
      <c r="X8" s="5"/>
      <c r="Y8" s="5"/>
      <c r="Z8" s="35"/>
      <c r="AA8" s="35"/>
      <c r="AB8" s="5"/>
      <c r="AC8" s="11"/>
      <c r="AD8" s="11"/>
      <c r="AE8" s="11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</row>
    <row r="9" spans="1:74" ht="30" customHeight="1">
      <c r="A9" s="9" t="s">
        <v>23</v>
      </c>
      <c r="B9" s="14" t="s">
        <v>9</v>
      </c>
      <c r="C9" s="5"/>
      <c r="D9" s="5"/>
      <c r="E9" s="5"/>
      <c r="F9" s="5"/>
      <c r="G9" s="5"/>
      <c r="H9" s="5"/>
      <c r="I9" s="5"/>
      <c r="J9" s="5"/>
      <c r="K9" s="5"/>
      <c r="L9" s="36"/>
      <c r="M9" s="36"/>
      <c r="N9" s="36"/>
      <c r="O9" s="5"/>
      <c r="P9" s="5"/>
      <c r="Q9" s="5"/>
      <c r="R9" s="5"/>
      <c r="S9" s="5"/>
      <c r="T9" s="5"/>
      <c r="U9" s="5"/>
      <c r="V9" s="36"/>
      <c r="W9" s="36"/>
      <c r="X9" s="36"/>
      <c r="Y9" s="5"/>
      <c r="Z9" s="5"/>
      <c r="AA9" s="5"/>
      <c r="AB9" s="5"/>
      <c r="AC9" s="11"/>
      <c r="AD9" s="11"/>
      <c r="AE9" s="11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</row>
    <row r="10" spans="1:74" ht="30" customHeight="1">
      <c r="A10" s="9" t="s">
        <v>24</v>
      </c>
      <c r="B10" s="13" t="s">
        <v>12</v>
      </c>
      <c r="C10" s="34"/>
      <c r="D10" s="5"/>
      <c r="E10" s="5"/>
      <c r="F10" s="5"/>
      <c r="G10" s="34"/>
      <c r="H10" s="34"/>
      <c r="I10" s="34"/>
      <c r="J10" s="5"/>
      <c r="K10" s="5"/>
      <c r="L10" s="5"/>
      <c r="M10" s="5"/>
      <c r="N10" s="5"/>
      <c r="O10" s="5"/>
      <c r="P10" s="34"/>
      <c r="Q10" s="5"/>
      <c r="R10" s="5"/>
      <c r="S10" s="5"/>
      <c r="T10" s="34"/>
      <c r="U10" s="34"/>
      <c r="V10" s="5"/>
      <c r="W10" s="34"/>
      <c r="X10" s="34"/>
      <c r="Y10" s="5"/>
      <c r="Z10" s="5"/>
      <c r="AA10" s="34"/>
      <c r="AB10" s="34"/>
      <c r="AC10" s="11"/>
      <c r="AD10" s="11"/>
      <c r="AE10" s="11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</row>
    <row r="11" spans="1:74" ht="30" customHeight="1">
      <c r="A11" s="9" t="s">
        <v>25</v>
      </c>
      <c r="B11" s="15" t="s">
        <v>15</v>
      </c>
      <c r="C11" s="5"/>
      <c r="D11" s="5"/>
      <c r="E11" s="5"/>
      <c r="F11" s="5"/>
      <c r="G11" s="5"/>
      <c r="H11" s="15"/>
      <c r="I11" s="15"/>
      <c r="J11" s="5"/>
      <c r="K11" s="5"/>
      <c r="L11" s="5"/>
      <c r="M11" s="5"/>
      <c r="N11" s="5"/>
      <c r="O11" s="77"/>
      <c r="P11" s="77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132"/>
      <c r="AD11" s="132"/>
      <c r="AE11" s="11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</row>
    <row r="12" spans="1:74" ht="30" customHeight="1">
      <c r="A12" s="9" t="s">
        <v>26</v>
      </c>
      <c r="B12" s="15" t="s">
        <v>15</v>
      </c>
      <c r="C12" s="5"/>
      <c r="D12" s="5"/>
      <c r="E12" s="5"/>
      <c r="F12" s="5"/>
      <c r="G12" s="5"/>
      <c r="H12" s="15"/>
      <c r="I12" s="15"/>
      <c r="J12" s="5"/>
      <c r="K12" s="5"/>
      <c r="L12" s="5"/>
      <c r="M12" s="5"/>
      <c r="N12" s="5"/>
      <c r="O12" s="77"/>
      <c r="P12" s="77"/>
      <c r="Q12" s="5"/>
      <c r="R12" s="5"/>
      <c r="S12" s="5"/>
      <c r="T12" s="5"/>
      <c r="U12" s="5"/>
      <c r="V12" s="5"/>
      <c r="W12" s="5"/>
      <c r="X12" s="77"/>
      <c r="Y12" s="77"/>
      <c r="Z12" s="77"/>
      <c r="AA12" s="77"/>
      <c r="AB12" s="5"/>
      <c r="AC12" s="11"/>
      <c r="AD12" s="11"/>
      <c r="AE12" s="11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</row>
    <row r="13" spans="1:74" ht="30" customHeight="1">
      <c r="A13" s="9" t="s">
        <v>27</v>
      </c>
      <c r="B13" s="12" t="s">
        <v>6</v>
      </c>
      <c r="C13" s="33"/>
      <c r="D13" s="5"/>
      <c r="E13" s="5"/>
      <c r="F13" s="5"/>
      <c r="G13" s="33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33"/>
      <c r="AB13" s="33"/>
      <c r="AC13" s="11"/>
      <c r="AD13" s="11"/>
      <c r="AE13" s="11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</row>
    <row r="14" spans="1:74" ht="30" customHeight="1">
      <c r="A14" s="9" t="s">
        <v>28</v>
      </c>
      <c r="B14" s="10" t="s">
        <v>4</v>
      </c>
      <c r="C14" s="5"/>
      <c r="D14" s="5"/>
      <c r="E14" s="5"/>
      <c r="F14" s="5"/>
      <c r="G14" s="5"/>
      <c r="H14" s="10"/>
      <c r="I14" s="10"/>
      <c r="J14" s="35"/>
      <c r="K14" s="5"/>
      <c r="L14" s="5"/>
      <c r="M14" s="5"/>
      <c r="N14" s="5"/>
      <c r="O14" s="5"/>
      <c r="P14" s="35"/>
      <c r="Q14" s="35"/>
      <c r="R14" s="5"/>
      <c r="S14" s="5"/>
      <c r="T14" s="5"/>
      <c r="U14" s="5"/>
      <c r="V14" s="5"/>
      <c r="W14" s="35"/>
      <c r="X14" s="35"/>
      <c r="Y14" s="5"/>
      <c r="Z14" s="5"/>
      <c r="AA14" s="5"/>
      <c r="AB14" s="5"/>
      <c r="AC14" s="11"/>
      <c r="AD14" s="134"/>
      <c r="AE14" s="13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</row>
    <row r="15" spans="1:74" ht="30" customHeight="1">
      <c r="A15" s="9" t="s">
        <v>29</v>
      </c>
      <c r="B15" s="14" t="s">
        <v>9</v>
      </c>
      <c r="C15" s="5"/>
      <c r="D15" s="5"/>
      <c r="E15" s="5"/>
      <c r="F15" s="5"/>
      <c r="G15" s="5"/>
      <c r="H15" s="14"/>
      <c r="I15" s="14"/>
      <c r="J15" s="36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36"/>
      <c r="AC15" s="131"/>
      <c r="AD15" s="11"/>
      <c r="AE15" s="11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</row>
    <row r="16" spans="1:74" ht="30" customHeight="1">
      <c r="A16" s="9" t="s">
        <v>30</v>
      </c>
      <c r="B16" s="13" t="s">
        <v>12</v>
      </c>
      <c r="C16" s="13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11"/>
      <c r="AD16" s="11"/>
      <c r="AE16" s="11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</row>
    <row r="17" spans="1:74" ht="30" customHeight="1">
      <c r="A17" s="9" t="s">
        <v>31</v>
      </c>
      <c r="B17" s="10" t="s">
        <v>4</v>
      </c>
      <c r="C17" s="10"/>
      <c r="D17" s="5"/>
      <c r="E17" s="5"/>
      <c r="F17" s="5"/>
      <c r="G17" s="5"/>
      <c r="H17" s="5"/>
      <c r="I17" s="35"/>
      <c r="J17" s="10"/>
      <c r="K17" s="5"/>
      <c r="L17" s="5"/>
      <c r="M17" s="5"/>
      <c r="N17" s="5"/>
      <c r="O17" s="5"/>
      <c r="P17" s="5"/>
      <c r="Q17" s="35"/>
      <c r="R17" s="5"/>
      <c r="S17" s="5"/>
      <c r="T17" s="5"/>
      <c r="U17" s="5"/>
      <c r="V17" s="5"/>
      <c r="W17" s="5"/>
      <c r="X17" s="35"/>
      <c r="Y17" s="5"/>
      <c r="Z17" s="5"/>
      <c r="AA17" s="5"/>
      <c r="AB17" s="5"/>
      <c r="AC17" s="11"/>
      <c r="AD17" s="11"/>
      <c r="AE17" s="13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</row>
    <row r="18" spans="1:74" ht="30" customHeight="1">
      <c r="A18" s="9" t="s">
        <v>430</v>
      </c>
      <c r="B18" s="78" t="s">
        <v>9</v>
      </c>
      <c r="C18" s="79"/>
      <c r="D18" s="5"/>
      <c r="E18" s="5"/>
      <c r="F18" s="5"/>
      <c r="G18" s="5"/>
      <c r="H18" s="5"/>
      <c r="I18" s="80"/>
      <c r="J18" s="79"/>
      <c r="K18" s="80"/>
      <c r="L18" s="80"/>
      <c r="M18" s="80"/>
      <c r="N18" s="80"/>
      <c r="O18" s="36"/>
      <c r="P18" s="36"/>
      <c r="Q18" s="36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11"/>
      <c r="AD18" s="11"/>
      <c r="AE18" s="11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</row>
    <row r="19" spans="1:74" ht="30" customHeight="1">
      <c r="A19" s="9" t="s">
        <v>431</v>
      </c>
      <c r="B19" s="81" t="s">
        <v>12</v>
      </c>
      <c r="C19" s="79"/>
      <c r="D19" s="5"/>
      <c r="E19" s="5"/>
      <c r="F19" s="5"/>
      <c r="G19" s="5"/>
      <c r="H19" s="5"/>
      <c r="I19" s="80"/>
      <c r="J19" s="79"/>
      <c r="K19" s="80"/>
      <c r="L19" s="80"/>
      <c r="M19" s="80"/>
      <c r="N19" s="80"/>
      <c r="O19" s="34"/>
      <c r="P19" s="34"/>
      <c r="Q19" s="80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11"/>
      <c r="AD19" s="11"/>
      <c r="AE19" s="11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</row>
    <row r="20" spans="1:74" ht="30" customHeight="1">
      <c r="A20" s="9" t="s">
        <v>432</v>
      </c>
      <c r="B20" s="82" t="s">
        <v>6</v>
      </c>
      <c r="C20" s="79"/>
      <c r="D20" s="5"/>
      <c r="E20" s="5"/>
      <c r="F20" s="5"/>
      <c r="G20" s="5"/>
      <c r="H20" s="5"/>
      <c r="I20" s="80"/>
      <c r="J20" s="79"/>
      <c r="K20" s="80"/>
      <c r="L20" s="80"/>
      <c r="M20" s="80"/>
      <c r="N20" s="80"/>
      <c r="O20" s="80"/>
      <c r="P20" s="33"/>
      <c r="Q20" s="33"/>
      <c r="R20" s="33"/>
      <c r="S20" s="5"/>
      <c r="T20" s="5"/>
      <c r="U20" s="5"/>
      <c r="V20" s="5"/>
      <c r="W20" s="5"/>
      <c r="X20" s="5"/>
      <c r="Y20" s="5"/>
      <c r="Z20" s="5"/>
      <c r="AA20" s="5"/>
      <c r="AB20" s="5"/>
      <c r="AC20" s="11"/>
      <c r="AD20" s="11"/>
      <c r="AE20" s="11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</row>
    <row r="21" spans="1:74" ht="30" customHeight="1">
      <c r="A21" s="9" t="s">
        <v>32</v>
      </c>
      <c r="B21" s="16" t="s">
        <v>33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133"/>
      <c r="AC21" s="135"/>
      <c r="AD21" s="135"/>
      <c r="AE21" s="11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</row>
    <row r="22" spans="1:74" ht="30" customHeight="1">
      <c r="A22" s="9" t="s">
        <v>34</v>
      </c>
      <c r="B22" s="16" t="s">
        <v>33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11"/>
      <c r="AD22" s="11"/>
      <c r="AE22" s="135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</row>
    <row r="23" spans="1:74" ht="13.2"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</row>
    <row r="24" spans="1:74" ht="13.2"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</row>
    <row r="25" spans="1:74" ht="13.2"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</row>
    <row r="26" spans="1:74" ht="13.2"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</row>
    <row r="27" spans="1:74" ht="13.2"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</row>
    <row r="28" spans="1:74" ht="13.2"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</row>
    <row r="29" spans="1:74" ht="13.2"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</row>
    <row r="30" spans="1:74" ht="13.2"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</row>
    <row r="31" spans="1:74" ht="13.2"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</row>
    <row r="32" spans="1:74" ht="13.2"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</row>
    <row r="33" spans="29:74" ht="13.2"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</row>
    <row r="34" spans="29:74" ht="13.2"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</row>
    <row r="35" spans="29:74" ht="13.2"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</row>
    <row r="36" spans="29:74" ht="13.2"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</row>
    <row r="37" spans="29:74" ht="13.2"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</row>
    <row r="38" spans="29:74" ht="13.2"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</row>
    <row r="39" spans="29:74" ht="13.2"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</row>
    <row r="40" spans="29:74" ht="13.2"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</row>
    <row r="41" spans="29:74" ht="13.2"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</row>
    <row r="42" spans="29:74" ht="13.2"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</row>
    <row r="43" spans="29:74" ht="13.2"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</row>
    <row r="44" spans="29:74" ht="13.2"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</row>
    <row r="45" spans="29:74" ht="13.2"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</row>
    <row r="46" spans="29:74" ht="13.2"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</row>
    <row r="47" spans="29:74" ht="13.2"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</row>
    <row r="48" spans="29:74" ht="13.2"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</row>
    <row r="49" spans="29:74" ht="13.2"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</row>
    <row r="50" spans="29:74" ht="13.2"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</row>
    <row r="51" spans="29:74" ht="13.2"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</row>
    <row r="52" spans="29:74" ht="13.2"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</row>
    <row r="53" spans="29:74" ht="13.2"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</row>
    <row r="54" spans="29:74" ht="13.2"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</row>
    <row r="55" spans="29:74" ht="13.2"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</row>
    <row r="56" spans="29:74" ht="13.2"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</row>
    <row r="57" spans="29:74" ht="13.2"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</row>
    <row r="58" spans="29:74" ht="13.2"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</row>
    <row r="59" spans="29:74" ht="13.2"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</row>
    <row r="60" spans="29:74" ht="13.2"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</row>
    <row r="61" spans="29:74" ht="13.2"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</row>
    <row r="62" spans="29:74" ht="13.2"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</row>
    <row r="63" spans="29:74" ht="13.2"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</row>
    <row r="64" spans="29:74" ht="13.2"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</row>
    <row r="65" spans="29:74" ht="13.2"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</row>
    <row r="66" spans="29:74" ht="13.2"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</row>
    <row r="67" spans="29:74" ht="13.2"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</row>
    <row r="68" spans="29:74" ht="13.2"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</row>
    <row r="69" spans="29:74" ht="13.2"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</row>
    <row r="70" spans="29:74" ht="13.2"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</row>
    <row r="71" spans="29:74" ht="13.2"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</row>
    <row r="72" spans="29:74" ht="13.2"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</row>
    <row r="73" spans="29:74" ht="13.2"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</row>
    <row r="74" spans="29:74" ht="13.2"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</row>
    <row r="75" spans="29:74" ht="13.2"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</row>
    <row r="76" spans="29:74" ht="13.2"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</row>
    <row r="77" spans="29:74" ht="13.2"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</row>
    <row r="78" spans="29:74" ht="13.2"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</row>
    <row r="79" spans="29:74" ht="13.2"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</row>
    <row r="80" spans="29:74" ht="13.2"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</row>
    <row r="81" spans="29:74" ht="13.2"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</row>
    <row r="82" spans="29:74" ht="13.2"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</row>
    <row r="83" spans="29:74" ht="13.2"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</row>
    <row r="84" spans="29:74" ht="13.2"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</row>
    <row r="85" spans="29:74" ht="13.2"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</row>
    <row r="86" spans="29:74" ht="13.2"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</row>
    <row r="87" spans="29:74" ht="13.2"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</row>
    <row r="88" spans="29:74" ht="13.2"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</row>
    <row r="89" spans="29:74" ht="13.2"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</row>
    <row r="90" spans="29:74" ht="13.2"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</row>
    <row r="91" spans="29:74" ht="13.2"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</row>
    <row r="92" spans="29:74" ht="13.2"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</row>
    <row r="93" spans="29:74" ht="13.2"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</row>
    <row r="94" spans="29:74" ht="13.2"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</row>
    <row r="95" spans="29:74" ht="13.2"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</row>
    <row r="96" spans="29:74" ht="13.2"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</row>
    <row r="97" spans="29:74" ht="13.2"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</row>
    <row r="98" spans="29:74" ht="13.2"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</row>
    <row r="99" spans="29:74" ht="13.2"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</row>
    <row r="100" spans="29:74" ht="13.2"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</row>
    <row r="101" spans="29:74" ht="13.2"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</row>
    <row r="102" spans="29:74" ht="13.2"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</row>
    <row r="103" spans="29:74" ht="13.2"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</row>
    <row r="104" spans="29:74" ht="13.2"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</row>
    <row r="105" spans="29:74" ht="13.2"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</row>
    <row r="106" spans="29:74" ht="13.2"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</row>
    <row r="107" spans="29:74" ht="13.2"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</row>
    <row r="108" spans="29:74" ht="13.2"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</row>
    <row r="109" spans="29:74" ht="13.2"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</row>
    <row r="110" spans="29:74" ht="13.2"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</row>
    <row r="111" spans="29:74" ht="13.2"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</row>
    <row r="112" spans="29:74" ht="13.2"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</row>
    <row r="113" spans="29:74" ht="13.2"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</row>
    <row r="114" spans="29:74" ht="13.2"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</row>
    <row r="115" spans="29:74" ht="13.2"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</row>
    <row r="116" spans="29:74" ht="13.2"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</row>
    <row r="117" spans="29:74" ht="13.2"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</row>
    <row r="118" spans="29:74" ht="13.2"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</row>
    <row r="119" spans="29:74" ht="13.2"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</row>
    <row r="120" spans="29:74" ht="13.2"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</row>
    <row r="121" spans="29:74" ht="13.2"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</row>
    <row r="122" spans="29:74" ht="13.2"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</row>
    <row r="123" spans="29:74" ht="13.2"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</row>
    <row r="124" spans="29:74" ht="13.2"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</row>
    <row r="125" spans="29:74" ht="13.2"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</row>
    <row r="126" spans="29:74" ht="13.2"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</row>
    <row r="127" spans="29:74" ht="13.2"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</row>
    <row r="128" spans="29:74" ht="13.2"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</row>
    <row r="129" spans="29:74" ht="13.2"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</row>
    <row r="130" spans="29:74" ht="13.2"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</row>
    <row r="131" spans="29:74" ht="13.2"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</row>
    <row r="132" spans="29:74" ht="13.2"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</row>
    <row r="133" spans="29:74" ht="13.2"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</row>
    <row r="134" spans="29:74" ht="13.2"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</row>
    <row r="135" spans="29:74" ht="13.2"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</row>
    <row r="136" spans="29:74" ht="13.2"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</row>
    <row r="137" spans="29:74" ht="13.2"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</row>
    <row r="138" spans="29:74" ht="13.2"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</row>
    <row r="139" spans="29:74" ht="13.2"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</row>
    <row r="140" spans="29:74" ht="13.2"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</row>
    <row r="141" spans="29:74" ht="13.2"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</row>
    <row r="142" spans="29:74" ht="13.2"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</row>
    <row r="143" spans="29:74" ht="13.2"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</row>
    <row r="144" spans="29:74" ht="13.2"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</row>
    <row r="145" spans="29:74" ht="13.2"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</row>
    <row r="146" spans="29:74" ht="13.2"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</row>
    <row r="147" spans="29:74" ht="13.2"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</row>
    <row r="148" spans="29:74" ht="13.2"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</row>
    <row r="149" spans="29:74" ht="13.2"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</row>
    <row r="150" spans="29:74" ht="13.2"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</row>
    <row r="151" spans="29:74" ht="13.2"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</row>
    <row r="152" spans="29:74" ht="13.2"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</row>
    <row r="153" spans="29:74" ht="13.2"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</row>
    <row r="154" spans="29:74" ht="13.2"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</row>
    <row r="155" spans="29:74" ht="13.2"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</row>
    <row r="156" spans="29:74" ht="13.2"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</row>
    <row r="157" spans="29:74" ht="13.2"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</row>
    <row r="158" spans="29:74" ht="13.2"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</row>
    <row r="159" spans="29:74" ht="13.2"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</row>
    <row r="160" spans="29:74" ht="13.2"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</row>
    <row r="161" spans="29:74" ht="13.2"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</row>
    <row r="162" spans="29:74" ht="13.2"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</row>
    <row r="163" spans="29:74" ht="13.2"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</row>
    <row r="164" spans="29:74" ht="13.2"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</row>
    <row r="165" spans="29:74" ht="13.2"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</row>
    <row r="166" spans="29:74" ht="13.2"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</row>
    <row r="167" spans="29:74" ht="13.2"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</row>
    <row r="168" spans="29:74" ht="13.2"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</row>
    <row r="169" spans="29:74" ht="13.2"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</row>
    <row r="170" spans="29:74" ht="13.2"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</row>
    <row r="171" spans="29:74" ht="13.2"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</row>
    <row r="172" spans="29:74" ht="13.2"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</row>
    <row r="173" spans="29:74" ht="13.2"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</row>
    <row r="174" spans="29:74" ht="13.2"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</row>
    <row r="175" spans="29:74" ht="13.2"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</row>
    <row r="176" spans="29:74" ht="13.2"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</row>
    <row r="177" spans="29:74" ht="13.2"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</row>
    <row r="178" spans="29:74" ht="13.2"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</row>
    <row r="179" spans="29:74" ht="13.2"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</row>
    <row r="180" spans="29:74" ht="13.2"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</row>
    <row r="181" spans="29:74" ht="13.2"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</row>
    <row r="182" spans="29:74" ht="13.2"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</row>
    <row r="183" spans="29:74" ht="13.2"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</row>
    <row r="184" spans="29:74" ht="13.2"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</row>
    <row r="185" spans="29:74" ht="13.2"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</row>
    <row r="186" spans="29:74" ht="13.2"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</row>
    <row r="187" spans="29:74" ht="13.2"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</row>
    <row r="188" spans="29:74" ht="13.2"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</row>
    <row r="189" spans="29:74" ht="13.2"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</row>
    <row r="190" spans="29:74" ht="13.2"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</row>
    <row r="191" spans="29:74" ht="13.2"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</row>
    <row r="192" spans="29:74" ht="13.2"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</row>
    <row r="193" spans="29:74" ht="13.2"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</row>
    <row r="194" spans="29:74" ht="13.2"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</row>
    <row r="195" spans="29:74" ht="13.2"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</row>
    <row r="196" spans="29:74" ht="13.2"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</row>
    <row r="197" spans="29:74" ht="13.2"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</row>
    <row r="198" spans="29:74" ht="13.2"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</row>
    <row r="199" spans="29:74" ht="13.2"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</row>
    <row r="200" spans="29:74" ht="13.2"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</row>
    <row r="201" spans="29:74" ht="13.2"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</row>
    <row r="202" spans="29:74" ht="13.2"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</row>
    <row r="203" spans="29:74" ht="13.2"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</row>
    <row r="204" spans="29:74" ht="13.2"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</row>
    <row r="205" spans="29:74" ht="13.2"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</row>
    <row r="206" spans="29:74" ht="13.2"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</row>
    <row r="207" spans="29:74" ht="13.2"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</row>
    <row r="208" spans="29:74" ht="13.2"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</row>
    <row r="209" spans="29:74" ht="13.2"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</row>
    <row r="210" spans="29:74" ht="13.2"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</row>
    <row r="211" spans="29:74" ht="13.2"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</row>
    <row r="212" spans="29:74" ht="13.2"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</row>
    <row r="213" spans="29:74" ht="13.2"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</row>
    <row r="214" spans="29:74" ht="13.2"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</row>
    <row r="215" spans="29:74" ht="13.2"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</row>
    <row r="216" spans="29:74" ht="13.2"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</row>
    <row r="217" spans="29:74" ht="13.2"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</row>
    <row r="218" spans="29:74" ht="13.2"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</row>
    <row r="219" spans="29:74" ht="13.2"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</row>
    <row r="220" spans="29:74" ht="13.2"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</row>
    <row r="221" spans="29:74" ht="13.2"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</row>
    <row r="222" spans="29:74" ht="13.2"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</row>
    <row r="223" spans="29:74" ht="13.2"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</row>
    <row r="224" spans="29:74" ht="13.2"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</row>
    <row r="225" spans="29:74" ht="13.2"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</row>
    <row r="226" spans="29:74" ht="13.2"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</row>
    <row r="227" spans="29:74" ht="13.2"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</row>
    <row r="228" spans="29:74" ht="13.2"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</row>
    <row r="229" spans="29:74" ht="13.2"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</row>
    <row r="230" spans="29:74" ht="13.2"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</row>
    <row r="231" spans="29:74" ht="13.2"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</row>
    <row r="232" spans="29:74" ht="13.2"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</row>
    <row r="233" spans="29:74" ht="13.2"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</row>
    <row r="234" spans="29:74" ht="13.2"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</row>
    <row r="235" spans="29:74" ht="13.2"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</row>
    <row r="236" spans="29:74" ht="13.2"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</row>
    <row r="237" spans="29:74" ht="13.2"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</row>
    <row r="238" spans="29:74" ht="13.2"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</row>
    <row r="239" spans="29:74" ht="13.2"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</row>
    <row r="240" spans="29:74" ht="13.2"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</row>
    <row r="241" spans="29:74" ht="13.2"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</row>
    <row r="242" spans="29:74" ht="13.2"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</row>
    <row r="243" spans="29:74" ht="13.2"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</row>
    <row r="244" spans="29:74" ht="13.2"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</row>
    <row r="245" spans="29:74" ht="13.2"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</row>
    <row r="246" spans="29:74" ht="13.2"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</row>
    <row r="247" spans="29:74" ht="13.2"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</row>
    <row r="248" spans="29:74" ht="13.2"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</row>
    <row r="249" spans="29:74" ht="13.2"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</row>
    <row r="250" spans="29:74" ht="13.2"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</row>
    <row r="251" spans="29:74" ht="13.2"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</row>
    <row r="252" spans="29:74" ht="13.2"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</row>
    <row r="253" spans="29:74" ht="13.2"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</row>
    <row r="254" spans="29:74" ht="13.2"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</row>
    <row r="255" spans="29:74" ht="13.2"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</row>
    <row r="256" spans="29:74" ht="13.2"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</row>
    <row r="257" spans="29:74" ht="13.2"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</row>
    <row r="258" spans="29:74" ht="13.2"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</row>
    <row r="259" spans="29:74" ht="13.2"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</row>
    <row r="260" spans="29:74" ht="13.2"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</row>
    <row r="261" spans="29:74" ht="13.2"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</row>
    <row r="262" spans="29:74" ht="13.2"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</row>
    <row r="263" spans="29:74" ht="13.2"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</row>
    <row r="264" spans="29:74" ht="13.2"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</row>
    <row r="265" spans="29:74" ht="13.2"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</row>
    <row r="266" spans="29:74" ht="13.2"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</row>
    <row r="267" spans="29:74" ht="13.2"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</row>
    <row r="268" spans="29:74" ht="13.2"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</row>
    <row r="269" spans="29:74" ht="13.2"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</row>
    <row r="270" spans="29:74" ht="13.2"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</row>
    <row r="271" spans="29:74" ht="13.2"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</row>
    <row r="272" spans="29:74" ht="13.2"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</row>
    <row r="273" spans="29:74" ht="13.2"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</row>
    <row r="274" spans="29:74" ht="13.2"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</row>
    <row r="275" spans="29:74" ht="13.2"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</row>
    <row r="276" spans="29:74" ht="13.2"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</row>
    <row r="277" spans="29:74" ht="13.2"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</row>
    <row r="278" spans="29:74" ht="13.2"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</row>
    <row r="279" spans="29:74" ht="13.2"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</row>
    <row r="280" spans="29:74" ht="13.2"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</row>
    <row r="281" spans="29:74" ht="13.2"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</row>
    <row r="282" spans="29:74" ht="13.2"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</row>
    <row r="283" spans="29:74" ht="13.2"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</row>
    <row r="284" spans="29:74" ht="13.2"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</row>
    <row r="285" spans="29:74" ht="13.2"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</row>
    <row r="286" spans="29:74" ht="13.2"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</row>
    <row r="287" spans="29:74" ht="13.2"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</row>
    <row r="288" spans="29:74" ht="13.2"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</row>
    <row r="289" spans="29:74" ht="13.2"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</row>
    <row r="290" spans="29:74" ht="13.2"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</row>
    <row r="291" spans="29:74" ht="13.2"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</row>
    <row r="292" spans="29:74" ht="13.2"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</row>
    <row r="293" spans="29:74" ht="13.2"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</row>
    <row r="294" spans="29:74" ht="13.2"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</row>
    <row r="295" spans="29:74" ht="13.2"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</row>
    <row r="296" spans="29:74" ht="13.2"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</row>
    <row r="297" spans="29:74" ht="13.2"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</row>
    <row r="298" spans="29:74" ht="13.2"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</row>
    <row r="299" spans="29:74" ht="13.2"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</row>
    <row r="300" spans="29:74" ht="13.2"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</row>
    <row r="301" spans="29:74" ht="13.2"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</row>
    <row r="302" spans="29:74" ht="13.2"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</row>
    <row r="303" spans="29:74" ht="13.2"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</row>
    <row r="304" spans="29:74" ht="13.2"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</row>
    <row r="305" spans="29:74" ht="13.2"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</row>
    <row r="306" spans="29:74" ht="13.2"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</row>
    <row r="307" spans="29:74" ht="13.2"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</row>
    <row r="308" spans="29:74" ht="13.2"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</row>
    <row r="309" spans="29:74" ht="13.2"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</row>
    <row r="310" spans="29:74" ht="13.2"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</row>
    <row r="311" spans="29:74" ht="13.2"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</row>
    <row r="312" spans="29:74" ht="13.2"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</row>
    <row r="313" spans="29:74" ht="13.2"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</row>
    <row r="314" spans="29:74" ht="13.2"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</row>
    <row r="315" spans="29:74" ht="13.2"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</row>
    <row r="316" spans="29:74" ht="13.2"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</row>
    <row r="317" spans="29:74" ht="13.2"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</row>
    <row r="318" spans="29:74" ht="13.2"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</row>
    <row r="319" spans="29:74" ht="13.2"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</row>
    <row r="320" spans="29:74" ht="13.2"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</row>
    <row r="321" spans="29:74" ht="13.2"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</row>
    <row r="322" spans="29:74" ht="13.2"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</row>
    <row r="323" spans="29:74" ht="13.2"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</row>
    <row r="324" spans="29:74" ht="13.2"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</row>
    <row r="325" spans="29:74" ht="13.2"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</row>
    <row r="326" spans="29:74" ht="13.2"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</row>
    <row r="327" spans="29:74" ht="13.2"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</row>
    <row r="328" spans="29:74" ht="13.2"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</row>
    <row r="329" spans="29:74" ht="13.2"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</row>
    <row r="330" spans="29:74" ht="13.2"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</row>
    <row r="331" spans="29:74" ht="13.2"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</row>
    <row r="332" spans="29:74" ht="13.2"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</row>
    <row r="333" spans="29:74" ht="13.2"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</row>
    <row r="334" spans="29:74" ht="13.2"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</row>
    <row r="335" spans="29:74" ht="13.2"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</row>
    <row r="336" spans="29:74" ht="13.2"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</row>
    <row r="337" spans="29:74" ht="13.2"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</row>
    <row r="338" spans="29:74" ht="13.2"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</row>
    <row r="339" spans="29:74" ht="13.2"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</row>
    <row r="340" spans="29:74" ht="13.2"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</row>
    <row r="341" spans="29:74" ht="13.2"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</row>
    <row r="342" spans="29:74" ht="13.2"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</row>
    <row r="343" spans="29:74" ht="13.2"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</row>
    <row r="344" spans="29:74" ht="13.2"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</row>
    <row r="345" spans="29:74" ht="13.2"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</row>
    <row r="346" spans="29:74" ht="13.2"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</row>
    <row r="347" spans="29:74" ht="13.2"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</row>
    <row r="348" spans="29:74" ht="13.2"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</row>
    <row r="349" spans="29:74" ht="13.2"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</row>
    <row r="350" spans="29:74" ht="13.2"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</row>
    <row r="351" spans="29:74" ht="13.2"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</row>
    <row r="352" spans="29:74" ht="13.2"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</row>
    <row r="353" spans="29:74" ht="13.2"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</row>
    <row r="354" spans="29:74" ht="13.2"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</row>
    <row r="355" spans="29:74" ht="13.2"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</row>
    <row r="356" spans="29:74" ht="13.2"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</row>
    <row r="357" spans="29:74" ht="13.2"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</row>
    <row r="358" spans="29:74" ht="13.2"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</row>
    <row r="359" spans="29:74" ht="13.2"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</row>
    <row r="360" spans="29:74" ht="13.2"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</row>
    <row r="361" spans="29:74" ht="13.2"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</row>
    <row r="362" spans="29:74" ht="13.2"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</row>
    <row r="363" spans="29:74" ht="13.2"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</row>
    <row r="364" spans="29:74" ht="13.2"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</row>
    <row r="365" spans="29:74" ht="13.2"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</row>
    <row r="366" spans="29:74" ht="13.2"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</row>
    <row r="367" spans="29:74" ht="13.2"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</row>
    <row r="368" spans="29:74" ht="13.2"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</row>
    <row r="369" spans="29:74" ht="13.2"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</row>
    <row r="370" spans="29:74" ht="13.2"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</row>
    <row r="371" spans="29:74" ht="13.2"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</row>
    <row r="372" spans="29:74" ht="13.2"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</row>
    <row r="373" spans="29:74" ht="13.2"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</row>
    <row r="374" spans="29:74" ht="13.2"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</row>
    <row r="375" spans="29:74" ht="13.2"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</row>
    <row r="376" spans="29:74" ht="13.2"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</row>
    <row r="377" spans="29:74" ht="13.2"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</row>
    <row r="378" spans="29:74" ht="13.2"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</row>
    <row r="379" spans="29:74" ht="13.2"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</row>
    <row r="380" spans="29:74" ht="13.2"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</row>
    <row r="381" spans="29:74" ht="13.2"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</row>
    <row r="382" spans="29:74" ht="13.2"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</row>
    <row r="383" spans="29:74" ht="13.2"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</row>
    <row r="384" spans="29:74" ht="13.2"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</row>
    <row r="385" spans="29:74" ht="13.2"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</row>
    <row r="386" spans="29:74" ht="13.2"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</row>
    <row r="387" spans="29:74" ht="13.2"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</row>
    <row r="388" spans="29:74" ht="13.2"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</row>
    <row r="389" spans="29:74" ht="13.2"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</row>
    <row r="390" spans="29:74" ht="13.2"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</row>
    <row r="391" spans="29:74" ht="13.2"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</row>
    <row r="392" spans="29:74" ht="13.2"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</row>
    <row r="393" spans="29:74" ht="13.2"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</row>
    <row r="394" spans="29:74" ht="13.2"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</row>
    <row r="395" spans="29:74" ht="13.2"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</row>
    <row r="396" spans="29:74" ht="13.2"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</row>
    <row r="397" spans="29:74" ht="13.2"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</row>
    <row r="398" spans="29:74" ht="13.2"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</row>
    <row r="399" spans="29:74" ht="13.2"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</row>
    <row r="400" spans="29:74" ht="13.2"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</row>
    <row r="401" spans="29:74" ht="13.2"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</row>
    <row r="402" spans="29:74" ht="13.2"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</row>
    <row r="403" spans="29:74" ht="13.2"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</row>
    <row r="404" spans="29:74" ht="13.2"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</row>
    <row r="405" spans="29:74" ht="13.2"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</row>
    <row r="406" spans="29:74" ht="13.2"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</row>
    <row r="407" spans="29:74" ht="13.2"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4"/>
      <c r="BJ407" s="4"/>
      <c r="BK407" s="4"/>
      <c r="BL407" s="4"/>
      <c r="BM407" s="4"/>
      <c r="BN407" s="4"/>
      <c r="BO407" s="4"/>
      <c r="BP407" s="4"/>
      <c r="BQ407" s="4"/>
      <c r="BR407" s="4"/>
      <c r="BS407" s="4"/>
      <c r="BT407" s="4"/>
      <c r="BU407" s="4"/>
      <c r="BV407" s="4"/>
    </row>
    <row r="408" spans="29:74" ht="13.2"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4"/>
      <c r="BJ408" s="4"/>
      <c r="BK408" s="4"/>
      <c r="BL408" s="4"/>
      <c r="BM408" s="4"/>
      <c r="BN408" s="4"/>
      <c r="BO408" s="4"/>
      <c r="BP408" s="4"/>
      <c r="BQ408" s="4"/>
      <c r="BR408" s="4"/>
      <c r="BS408" s="4"/>
      <c r="BT408" s="4"/>
      <c r="BU408" s="4"/>
      <c r="BV408" s="4"/>
    </row>
    <row r="409" spans="29:74" ht="13.2"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4"/>
      <c r="BJ409" s="4"/>
      <c r="BK409" s="4"/>
      <c r="BL409" s="4"/>
      <c r="BM409" s="4"/>
      <c r="BN409" s="4"/>
      <c r="BO409" s="4"/>
      <c r="BP409" s="4"/>
      <c r="BQ409" s="4"/>
      <c r="BR409" s="4"/>
      <c r="BS409" s="4"/>
      <c r="BT409" s="4"/>
      <c r="BU409" s="4"/>
      <c r="BV409" s="4"/>
    </row>
    <row r="410" spans="29:74" ht="13.2"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4"/>
      <c r="BJ410" s="4"/>
      <c r="BK410" s="4"/>
      <c r="BL410" s="4"/>
      <c r="BM410" s="4"/>
      <c r="BN410" s="4"/>
      <c r="BO410" s="4"/>
      <c r="BP410" s="4"/>
      <c r="BQ410" s="4"/>
      <c r="BR410" s="4"/>
      <c r="BS410" s="4"/>
      <c r="BT410" s="4"/>
      <c r="BU410" s="4"/>
      <c r="BV410" s="4"/>
    </row>
    <row r="411" spans="29:74" ht="13.2"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  <c r="BK411" s="4"/>
      <c r="BL411" s="4"/>
      <c r="BM411" s="4"/>
      <c r="BN411" s="4"/>
      <c r="BO411" s="4"/>
      <c r="BP411" s="4"/>
      <c r="BQ411" s="4"/>
      <c r="BR411" s="4"/>
      <c r="BS411" s="4"/>
      <c r="BT411" s="4"/>
      <c r="BU411" s="4"/>
      <c r="BV411" s="4"/>
    </row>
    <row r="412" spans="29:74" ht="13.2"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  <c r="BK412" s="4"/>
      <c r="BL412" s="4"/>
      <c r="BM412" s="4"/>
      <c r="BN412" s="4"/>
      <c r="BO412" s="4"/>
      <c r="BP412" s="4"/>
      <c r="BQ412" s="4"/>
      <c r="BR412" s="4"/>
      <c r="BS412" s="4"/>
      <c r="BT412" s="4"/>
      <c r="BU412" s="4"/>
      <c r="BV412" s="4"/>
    </row>
    <row r="413" spans="29:74" ht="13.2"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4"/>
      <c r="BJ413" s="4"/>
      <c r="BK413" s="4"/>
      <c r="BL413" s="4"/>
      <c r="BM413" s="4"/>
      <c r="BN413" s="4"/>
      <c r="BO413" s="4"/>
      <c r="BP413" s="4"/>
      <c r="BQ413" s="4"/>
      <c r="BR413" s="4"/>
      <c r="BS413" s="4"/>
      <c r="BT413" s="4"/>
      <c r="BU413" s="4"/>
      <c r="BV413" s="4"/>
    </row>
    <row r="414" spans="29:74" ht="13.2"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4"/>
      <c r="BJ414" s="4"/>
      <c r="BK414" s="4"/>
      <c r="BL414" s="4"/>
      <c r="BM414" s="4"/>
      <c r="BN414" s="4"/>
      <c r="BO414" s="4"/>
      <c r="BP414" s="4"/>
      <c r="BQ414" s="4"/>
      <c r="BR414" s="4"/>
      <c r="BS414" s="4"/>
      <c r="BT414" s="4"/>
      <c r="BU414" s="4"/>
      <c r="BV414" s="4"/>
    </row>
    <row r="415" spans="29:74" ht="13.2"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4"/>
      <c r="BJ415" s="4"/>
      <c r="BK415" s="4"/>
      <c r="BL415" s="4"/>
      <c r="BM415" s="4"/>
      <c r="BN415" s="4"/>
      <c r="BO415" s="4"/>
      <c r="BP415" s="4"/>
      <c r="BQ415" s="4"/>
      <c r="BR415" s="4"/>
      <c r="BS415" s="4"/>
      <c r="BT415" s="4"/>
      <c r="BU415" s="4"/>
      <c r="BV415" s="4"/>
    </row>
    <row r="416" spans="29:74" ht="13.2"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4"/>
      <c r="BJ416" s="4"/>
      <c r="BK416" s="4"/>
      <c r="BL416" s="4"/>
      <c r="BM416" s="4"/>
      <c r="BN416" s="4"/>
      <c r="BO416" s="4"/>
      <c r="BP416" s="4"/>
      <c r="BQ416" s="4"/>
      <c r="BR416" s="4"/>
      <c r="BS416" s="4"/>
      <c r="BT416" s="4"/>
      <c r="BU416" s="4"/>
      <c r="BV416" s="4"/>
    </row>
    <row r="417" spans="29:74" ht="13.2"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4"/>
      <c r="BJ417" s="4"/>
      <c r="BK417" s="4"/>
      <c r="BL417" s="4"/>
      <c r="BM417" s="4"/>
      <c r="BN417" s="4"/>
      <c r="BO417" s="4"/>
      <c r="BP417" s="4"/>
      <c r="BQ417" s="4"/>
      <c r="BR417" s="4"/>
      <c r="BS417" s="4"/>
      <c r="BT417" s="4"/>
      <c r="BU417" s="4"/>
      <c r="BV417" s="4"/>
    </row>
    <row r="418" spans="29:74" ht="13.2"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4"/>
      <c r="BJ418" s="4"/>
      <c r="BK418" s="4"/>
      <c r="BL418" s="4"/>
      <c r="BM418" s="4"/>
      <c r="BN418" s="4"/>
      <c r="BO418" s="4"/>
      <c r="BP418" s="4"/>
      <c r="BQ418" s="4"/>
      <c r="BR418" s="4"/>
      <c r="BS418" s="4"/>
      <c r="BT418" s="4"/>
      <c r="BU418" s="4"/>
      <c r="BV418" s="4"/>
    </row>
    <row r="419" spans="29:74" ht="13.2"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4"/>
      <c r="BJ419" s="4"/>
      <c r="BK419" s="4"/>
      <c r="BL419" s="4"/>
      <c r="BM419" s="4"/>
      <c r="BN419" s="4"/>
      <c r="BO419" s="4"/>
      <c r="BP419" s="4"/>
      <c r="BQ419" s="4"/>
      <c r="BR419" s="4"/>
      <c r="BS419" s="4"/>
      <c r="BT419" s="4"/>
      <c r="BU419" s="4"/>
      <c r="BV419" s="4"/>
    </row>
    <row r="420" spans="29:74" ht="13.2"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4"/>
      <c r="BJ420" s="4"/>
      <c r="BK420" s="4"/>
      <c r="BL420" s="4"/>
      <c r="BM420" s="4"/>
      <c r="BN420" s="4"/>
      <c r="BO420" s="4"/>
      <c r="BP420" s="4"/>
      <c r="BQ420" s="4"/>
      <c r="BR420" s="4"/>
      <c r="BS420" s="4"/>
      <c r="BT420" s="4"/>
      <c r="BU420" s="4"/>
      <c r="BV420" s="4"/>
    </row>
    <row r="421" spans="29:74" ht="13.2"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4"/>
      <c r="BJ421" s="4"/>
      <c r="BK421" s="4"/>
      <c r="BL421" s="4"/>
      <c r="BM421" s="4"/>
      <c r="BN421" s="4"/>
      <c r="BO421" s="4"/>
      <c r="BP421" s="4"/>
      <c r="BQ421" s="4"/>
      <c r="BR421" s="4"/>
      <c r="BS421" s="4"/>
      <c r="BT421" s="4"/>
      <c r="BU421" s="4"/>
      <c r="BV421" s="4"/>
    </row>
    <row r="422" spans="29:74" ht="13.2"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4"/>
      <c r="BJ422" s="4"/>
      <c r="BK422" s="4"/>
      <c r="BL422" s="4"/>
      <c r="BM422" s="4"/>
      <c r="BN422" s="4"/>
      <c r="BO422" s="4"/>
      <c r="BP422" s="4"/>
      <c r="BQ422" s="4"/>
      <c r="BR422" s="4"/>
      <c r="BS422" s="4"/>
      <c r="BT422" s="4"/>
      <c r="BU422" s="4"/>
      <c r="BV422" s="4"/>
    </row>
    <row r="423" spans="29:74" ht="13.2"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4"/>
      <c r="BJ423" s="4"/>
      <c r="BK423" s="4"/>
      <c r="BL423" s="4"/>
      <c r="BM423" s="4"/>
      <c r="BN423" s="4"/>
      <c r="BO423" s="4"/>
      <c r="BP423" s="4"/>
      <c r="BQ423" s="4"/>
      <c r="BR423" s="4"/>
      <c r="BS423" s="4"/>
      <c r="BT423" s="4"/>
      <c r="BU423" s="4"/>
      <c r="BV423" s="4"/>
    </row>
    <row r="424" spans="29:74" ht="13.2"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4"/>
      <c r="BJ424" s="4"/>
      <c r="BK424" s="4"/>
      <c r="BL424" s="4"/>
      <c r="BM424" s="4"/>
      <c r="BN424" s="4"/>
      <c r="BO424" s="4"/>
      <c r="BP424" s="4"/>
      <c r="BQ424" s="4"/>
      <c r="BR424" s="4"/>
      <c r="BS424" s="4"/>
      <c r="BT424" s="4"/>
      <c r="BU424" s="4"/>
      <c r="BV424" s="4"/>
    </row>
    <row r="425" spans="29:74" ht="13.2"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4"/>
      <c r="BJ425" s="4"/>
      <c r="BK425" s="4"/>
      <c r="BL425" s="4"/>
      <c r="BM425" s="4"/>
      <c r="BN425" s="4"/>
      <c r="BO425" s="4"/>
      <c r="BP425" s="4"/>
      <c r="BQ425" s="4"/>
      <c r="BR425" s="4"/>
      <c r="BS425" s="4"/>
      <c r="BT425" s="4"/>
      <c r="BU425" s="4"/>
      <c r="BV425" s="4"/>
    </row>
    <row r="426" spans="29:74" ht="13.2"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4"/>
      <c r="BJ426" s="4"/>
      <c r="BK426" s="4"/>
      <c r="BL426" s="4"/>
      <c r="BM426" s="4"/>
      <c r="BN426" s="4"/>
      <c r="BO426" s="4"/>
      <c r="BP426" s="4"/>
      <c r="BQ426" s="4"/>
      <c r="BR426" s="4"/>
      <c r="BS426" s="4"/>
      <c r="BT426" s="4"/>
      <c r="BU426" s="4"/>
      <c r="BV426" s="4"/>
    </row>
    <row r="427" spans="29:74" ht="13.2"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4"/>
      <c r="BJ427" s="4"/>
      <c r="BK427" s="4"/>
      <c r="BL427" s="4"/>
      <c r="BM427" s="4"/>
      <c r="BN427" s="4"/>
      <c r="BO427" s="4"/>
      <c r="BP427" s="4"/>
      <c r="BQ427" s="4"/>
      <c r="BR427" s="4"/>
      <c r="BS427" s="4"/>
      <c r="BT427" s="4"/>
      <c r="BU427" s="4"/>
      <c r="BV427" s="4"/>
    </row>
    <row r="428" spans="29:74" ht="13.2"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4"/>
      <c r="BJ428" s="4"/>
      <c r="BK428" s="4"/>
      <c r="BL428" s="4"/>
      <c r="BM428" s="4"/>
      <c r="BN428" s="4"/>
      <c r="BO428" s="4"/>
      <c r="BP428" s="4"/>
      <c r="BQ428" s="4"/>
      <c r="BR428" s="4"/>
      <c r="BS428" s="4"/>
      <c r="BT428" s="4"/>
      <c r="BU428" s="4"/>
      <c r="BV428" s="4"/>
    </row>
    <row r="429" spans="29:74" ht="13.2"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4"/>
      <c r="BJ429" s="4"/>
      <c r="BK429" s="4"/>
      <c r="BL429" s="4"/>
      <c r="BM429" s="4"/>
      <c r="BN429" s="4"/>
      <c r="BO429" s="4"/>
      <c r="BP429" s="4"/>
      <c r="BQ429" s="4"/>
      <c r="BR429" s="4"/>
      <c r="BS429" s="4"/>
      <c r="BT429" s="4"/>
      <c r="BU429" s="4"/>
      <c r="BV429" s="4"/>
    </row>
    <row r="430" spans="29:74" ht="13.2"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  <c r="BK430" s="4"/>
      <c r="BL430" s="4"/>
      <c r="BM430" s="4"/>
      <c r="BN430" s="4"/>
      <c r="BO430" s="4"/>
      <c r="BP430" s="4"/>
      <c r="BQ430" s="4"/>
      <c r="BR430" s="4"/>
      <c r="BS430" s="4"/>
      <c r="BT430" s="4"/>
      <c r="BU430" s="4"/>
      <c r="BV430" s="4"/>
    </row>
    <row r="431" spans="29:74" ht="13.2"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  <c r="BK431" s="4"/>
      <c r="BL431" s="4"/>
      <c r="BM431" s="4"/>
      <c r="BN431" s="4"/>
      <c r="BO431" s="4"/>
      <c r="BP431" s="4"/>
      <c r="BQ431" s="4"/>
      <c r="BR431" s="4"/>
      <c r="BS431" s="4"/>
      <c r="BT431" s="4"/>
      <c r="BU431" s="4"/>
      <c r="BV431" s="4"/>
    </row>
    <row r="432" spans="29:74" ht="13.2"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  <c r="BK432" s="4"/>
      <c r="BL432" s="4"/>
      <c r="BM432" s="4"/>
      <c r="BN432" s="4"/>
      <c r="BO432" s="4"/>
      <c r="BP432" s="4"/>
      <c r="BQ432" s="4"/>
      <c r="BR432" s="4"/>
      <c r="BS432" s="4"/>
      <c r="BT432" s="4"/>
      <c r="BU432" s="4"/>
      <c r="BV432" s="4"/>
    </row>
    <row r="433" spans="29:74" ht="13.2"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  <c r="BK433" s="4"/>
      <c r="BL433" s="4"/>
      <c r="BM433" s="4"/>
      <c r="BN433" s="4"/>
      <c r="BO433" s="4"/>
      <c r="BP433" s="4"/>
      <c r="BQ433" s="4"/>
      <c r="BR433" s="4"/>
      <c r="BS433" s="4"/>
      <c r="BT433" s="4"/>
      <c r="BU433" s="4"/>
      <c r="BV433" s="4"/>
    </row>
    <row r="434" spans="29:74" ht="13.2"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  <c r="BK434" s="4"/>
      <c r="BL434" s="4"/>
      <c r="BM434" s="4"/>
      <c r="BN434" s="4"/>
      <c r="BO434" s="4"/>
      <c r="BP434" s="4"/>
      <c r="BQ434" s="4"/>
      <c r="BR434" s="4"/>
      <c r="BS434" s="4"/>
      <c r="BT434" s="4"/>
      <c r="BU434" s="4"/>
      <c r="BV434" s="4"/>
    </row>
    <row r="435" spans="29:74" ht="13.2"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  <c r="BK435" s="4"/>
      <c r="BL435" s="4"/>
      <c r="BM435" s="4"/>
      <c r="BN435" s="4"/>
      <c r="BO435" s="4"/>
      <c r="BP435" s="4"/>
      <c r="BQ435" s="4"/>
      <c r="BR435" s="4"/>
      <c r="BS435" s="4"/>
      <c r="BT435" s="4"/>
      <c r="BU435" s="4"/>
      <c r="BV435" s="4"/>
    </row>
    <row r="436" spans="29:74" ht="13.2"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  <c r="BK436" s="4"/>
      <c r="BL436" s="4"/>
      <c r="BM436" s="4"/>
      <c r="BN436" s="4"/>
      <c r="BO436" s="4"/>
      <c r="BP436" s="4"/>
      <c r="BQ436" s="4"/>
      <c r="BR436" s="4"/>
      <c r="BS436" s="4"/>
      <c r="BT436" s="4"/>
      <c r="BU436" s="4"/>
      <c r="BV436" s="4"/>
    </row>
    <row r="437" spans="29:74" ht="13.2"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  <c r="BK437" s="4"/>
      <c r="BL437" s="4"/>
      <c r="BM437" s="4"/>
      <c r="BN437" s="4"/>
      <c r="BO437" s="4"/>
      <c r="BP437" s="4"/>
      <c r="BQ437" s="4"/>
      <c r="BR437" s="4"/>
      <c r="BS437" s="4"/>
      <c r="BT437" s="4"/>
      <c r="BU437" s="4"/>
      <c r="BV437" s="4"/>
    </row>
    <row r="438" spans="29:74" ht="13.2"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  <c r="BK438" s="4"/>
      <c r="BL438" s="4"/>
      <c r="BM438" s="4"/>
      <c r="BN438" s="4"/>
      <c r="BO438" s="4"/>
      <c r="BP438" s="4"/>
      <c r="BQ438" s="4"/>
      <c r="BR438" s="4"/>
      <c r="BS438" s="4"/>
      <c r="BT438" s="4"/>
      <c r="BU438" s="4"/>
      <c r="BV438" s="4"/>
    </row>
    <row r="439" spans="29:74" ht="13.2"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  <c r="BK439" s="4"/>
      <c r="BL439" s="4"/>
      <c r="BM439" s="4"/>
      <c r="BN439" s="4"/>
      <c r="BO439" s="4"/>
      <c r="BP439" s="4"/>
      <c r="BQ439" s="4"/>
      <c r="BR439" s="4"/>
      <c r="BS439" s="4"/>
      <c r="BT439" s="4"/>
      <c r="BU439" s="4"/>
      <c r="BV439" s="4"/>
    </row>
    <row r="440" spans="29:74" ht="13.2"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  <c r="BK440" s="4"/>
      <c r="BL440" s="4"/>
      <c r="BM440" s="4"/>
      <c r="BN440" s="4"/>
      <c r="BO440" s="4"/>
      <c r="BP440" s="4"/>
      <c r="BQ440" s="4"/>
      <c r="BR440" s="4"/>
      <c r="BS440" s="4"/>
      <c r="BT440" s="4"/>
      <c r="BU440" s="4"/>
      <c r="BV440" s="4"/>
    </row>
    <row r="441" spans="29:74" ht="13.2"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  <c r="BK441" s="4"/>
      <c r="BL441" s="4"/>
      <c r="BM441" s="4"/>
      <c r="BN441" s="4"/>
      <c r="BO441" s="4"/>
      <c r="BP441" s="4"/>
      <c r="BQ441" s="4"/>
      <c r="BR441" s="4"/>
      <c r="BS441" s="4"/>
      <c r="BT441" s="4"/>
      <c r="BU441" s="4"/>
      <c r="BV441" s="4"/>
    </row>
    <row r="442" spans="29:74" ht="13.2"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  <c r="BK442" s="4"/>
      <c r="BL442" s="4"/>
      <c r="BM442" s="4"/>
      <c r="BN442" s="4"/>
      <c r="BO442" s="4"/>
      <c r="BP442" s="4"/>
      <c r="BQ442" s="4"/>
      <c r="BR442" s="4"/>
      <c r="BS442" s="4"/>
      <c r="BT442" s="4"/>
      <c r="BU442" s="4"/>
      <c r="BV442" s="4"/>
    </row>
    <row r="443" spans="29:74" ht="13.2"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  <c r="BK443" s="4"/>
      <c r="BL443" s="4"/>
      <c r="BM443" s="4"/>
      <c r="BN443" s="4"/>
      <c r="BO443" s="4"/>
      <c r="BP443" s="4"/>
      <c r="BQ443" s="4"/>
      <c r="BR443" s="4"/>
      <c r="BS443" s="4"/>
      <c r="BT443" s="4"/>
      <c r="BU443" s="4"/>
      <c r="BV443" s="4"/>
    </row>
    <row r="444" spans="29:74" ht="13.2"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  <c r="BK444" s="4"/>
      <c r="BL444" s="4"/>
      <c r="BM444" s="4"/>
      <c r="BN444" s="4"/>
      <c r="BO444" s="4"/>
      <c r="BP444" s="4"/>
      <c r="BQ444" s="4"/>
      <c r="BR444" s="4"/>
      <c r="BS444" s="4"/>
      <c r="BT444" s="4"/>
      <c r="BU444" s="4"/>
      <c r="BV444" s="4"/>
    </row>
    <row r="445" spans="29:74" ht="13.2"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  <c r="BK445" s="4"/>
      <c r="BL445" s="4"/>
      <c r="BM445" s="4"/>
      <c r="BN445" s="4"/>
      <c r="BO445" s="4"/>
      <c r="BP445" s="4"/>
      <c r="BQ445" s="4"/>
      <c r="BR445" s="4"/>
      <c r="BS445" s="4"/>
      <c r="BT445" s="4"/>
      <c r="BU445" s="4"/>
      <c r="BV445" s="4"/>
    </row>
    <row r="446" spans="29:74" ht="13.2"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  <c r="BK446" s="4"/>
      <c r="BL446" s="4"/>
      <c r="BM446" s="4"/>
      <c r="BN446" s="4"/>
      <c r="BO446" s="4"/>
      <c r="BP446" s="4"/>
      <c r="BQ446" s="4"/>
      <c r="BR446" s="4"/>
      <c r="BS446" s="4"/>
      <c r="BT446" s="4"/>
      <c r="BU446" s="4"/>
      <c r="BV446" s="4"/>
    </row>
    <row r="447" spans="29:74" ht="13.2"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  <c r="BK447" s="4"/>
      <c r="BL447" s="4"/>
      <c r="BM447" s="4"/>
      <c r="BN447" s="4"/>
      <c r="BO447" s="4"/>
      <c r="BP447" s="4"/>
      <c r="BQ447" s="4"/>
      <c r="BR447" s="4"/>
      <c r="BS447" s="4"/>
      <c r="BT447" s="4"/>
      <c r="BU447" s="4"/>
      <c r="BV447" s="4"/>
    </row>
    <row r="448" spans="29:74" ht="13.2"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  <c r="BK448" s="4"/>
      <c r="BL448" s="4"/>
      <c r="BM448" s="4"/>
      <c r="BN448" s="4"/>
      <c r="BO448" s="4"/>
      <c r="BP448" s="4"/>
      <c r="BQ448" s="4"/>
      <c r="BR448" s="4"/>
      <c r="BS448" s="4"/>
      <c r="BT448" s="4"/>
      <c r="BU448" s="4"/>
      <c r="BV448" s="4"/>
    </row>
    <row r="449" spans="29:74" ht="13.2"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  <c r="BK449" s="4"/>
      <c r="BL449" s="4"/>
      <c r="BM449" s="4"/>
      <c r="BN449" s="4"/>
      <c r="BO449" s="4"/>
      <c r="BP449" s="4"/>
      <c r="BQ449" s="4"/>
      <c r="BR449" s="4"/>
      <c r="BS449" s="4"/>
      <c r="BT449" s="4"/>
      <c r="BU449" s="4"/>
      <c r="BV449" s="4"/>
    </row>
    <row r="450" spans="29:74" ht="13.2"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  <c r="BK450" s="4"/>
      <c r="BL450" s="4"/>
      <c r="BM450" s="4"/>
      <c r="BN450" s="4"/>
      <c r="BO450" s="4"/>
      <c r="BP450" s="4"/>
      <c r="BQ450" s="4"/>
      <c r="BR450" s="4"/>
      <c r="BS450" s="4"/>
      <c r="BT450" s="4"/>
      <c r="BU450" s="4"/>
      <c r="BV450" s="4"/>
    </row>
    <row r="451" spans="29:74" ht="13.2"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  <c r="BK451" s="4"/>
      <c r="BL451" s="4"/>
      <c r="BM451" s="4"/>
      <c r="BN451" s="4"/>
      <c r="BO451" s="4"/>
      <c r="BP451" s="4"/>
      <c r="BQ451" s="4"/>
      <c r="BR451" s="4"/>
      <c r="BS451" s="4"/>
      <c r="BT451" s="4"/>
      <c r="BU451" s="4"/>
      <c r="BV451" s="4"/>
    </row>
    <row r="452" spans="29:74" ht="13.2"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  <c r="BK452" s="4"/>
      <c r="BL452" s="4"/>
      <c r="BM452" s="4"/>
      <c r="BN452" s="4"/>
      <c r="BO452" s="4"/>
      <c r="BP452" s="4"/>
      <c r="BQ452" s="4"/>
      <c r="BR452" s="4"/>
      <c r="BS452" s="4"/>
      <c r="BT452" s="4"/>
      <c r="BU452" s="4"/>
      <c r="BV452" s="4"/>
    </row>
    <row r="453" spans="29:74" ht="13.2"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  <c r="BK453" s="4"/>
      <c r="BL453" s="4"/>
      <c r="BM453" s="4"/>
      <c r="BN453" s="4"/>
      <c r="BO453" s="4"/>
      <c r="BP453" s="4"/>
      <c r="BQ453" s="4"/>
      <c r="BR453" s="4"/>
      <c r="BS453" s="4"/>
      <c r="BT453" s="4"/>
      <c r="BU453" s="4"/>
      <c r="BV453" s="4"/>
    </row>
    <row r="454" spans="29:74" ht="13.2"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  <c r="BK454" s="4"/>
      <c r="BL454" s="4"/>
      <c r="BM454" s="4"/>
      <c r="BN454" s="4"/>
      <c r="BO454" s="4"/>
      <c r="BP454" s="4"/>
      <c r="BQ454" s="4"/>
      <c r="BR454" s="4"/>
      <c r="BS454" s="4"/>
      <c r="BT454" s="4"/>
      <c r="BU454" s="4"/>
      <c r="BV454" s="4"/>
    </row>
    <row r="455" spans="29:74" ht="13.2"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  <c r="BK455" s="4"/>
      <c r="BL455" s="4"/>
      <c r="BM455" s="4"/>
      <c r="BN455" s="4"/>
      <c r="BO455" s="4"/>
      <c r="BP455" s="4"/>
      <c r="BQ455" s="4"/>
      <c r="BR455" s="4"/>
      <c r="BS455" s="4"/>
      <c r="BT455" s="4"/>
      <c r="BU455" s="4"/>
      <c r="BV455" s="4"/>
    </row>
    <row r="456" spans="29:74" ht="13.2"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  <c r="BL456" s="4"/>
      <c r="BM456" s="4"/>
      <c r="BN456" s="4"/>
      <c r="BO456" s="4"/>
      <c r="BP456" s="4"/>
      <c r="BQ456" s="4"/>
      <c r="BR456" s="4"/>
      <c r="BS456" s="4"/>
      <c r="BT456" s="4"/>
      <c r="BU456" s="4"/>
      <c r="BV456" s="4"/>
    </row>
    <row r="457" spans="29:74" ht="13.2"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4"/>
      <c r="BM457" s="4"/>
      <c r="BN457" s="4"/>
      <c r="BO457" s="4"/>
      <c r="BP457" s="4"/>
      <c r="BQ457" s="4"/>
      <c r="BR457" s="4"/>
      <c r="BS457" s="4"/>
      <c r="BT457" s="4"/>
      <c r="BU457" s="4"/>
      <c r="BV457" s="4"/>
    </row>
    <row r="458" spans="29:74" ht="13.2"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  <c r="BM458" s="4"/>
      <c r="BN458" s="4"/>
      <c r="BO458" s="4"/>
      <c r="BP458" s="4"/>
      <c r="BQ458" s="4"/>
      <c r="BR458" s="4"/>
      <c r="BS458" s="4"/>
      <c r="BT458" s="4"/>
      <c r="BU458" s="4"/>
      <c r="BV458" s="4"/>
    </row>
    <row r="459" spans="29:74" ht="13.2"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  <c r="BM459" s="4"/>
      <c r="BN459" s="4"/>
      <c r="BO459" s="4"/>
      <c r="BP459" s="4"/>
      <c r="BQ459" s="4"/>
      <c r="BR459" s="4"/>
      <c r="BS459" s="4"/>
      <c r="BT459" s="4"/>
      <c r="BU459" s="4"/>
      <c r="BV459" s="4"/>
    </row>
    <row r="460" spans="29:74" ht="13.2"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  <c r="BN460" s="4"/>
      <c r="BO460" s="4"/>
      <c r="BP460" s="4"/>
      <c r="BQ460" s="4"/>
      <c r="BR460" s="4"/>
      <c r="BS460" s="4"/>
      <c r="BT460" s="4"/>
      <c r="BU460" s="4"/>
      <c r="BV460" s="4"/>
    </row>
    <row r="461" spans="29:74" ht="13.2"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  <c r="BK461" s="4"/>
      <c r="BL461" s="4"/>
      <c r="BM461" s="4"/>
      <c r="BN461" s="4"/>
      <c r="BO461" s="4"/>
      <c r="BP461" s="4"/>
      <c r="BQ461" s="4"/>
      <c r="BR461" s="4"/>
      <c r="BS461" s="4"/>
      <c r="BT461" s="4"/>
      <c r="BU461" s="4"/>
      <c r="BV461" s="4"/>
    </row>
    <row r="462" spans="29:74" ht="13.2"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  <c r="BK462" s="4"/>
      <c r="BL462" s="4"/>
      <c r="BM462" s="4"/>
      <c r="BN462" s="4"/>
      <c r="BO462" s="4"/>
      <c r="BP462" s="4"/>
      <c r="BQ462" s="4"/>
      <c r="BR462" s="4"/>
      <c r="BS462" s="4"/>
      <c r="BT462" s="4"/>
      <c r="BU462" s="4"/>
      <c r="BV462" s="4"/>
    </row>
    <row r="463" spans="29:74" ht="13.2"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  <c r="BK463" s="4"/>
      <c r="BL463" s="4"/>
      <c r="BM463" s="4"/>
      <c r="BN463" s="4"/>
      <c r="BO463" s="4"/>
      <c r="BP463" s="4"/>
      <c r="BQ463" s="4"/>
      <c r="BR463" s="4"/>
      <c r="BS463" s="4"/>
      <c r="BT463" s="4"/>
      <c r="BU463" s="4"/>
      <c r="BV463" s="4"/>
    </row>
    <row r="464" spans="29:74" ht="13.2"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  <c r="BK464" s="4"/>
      <c r="BL464" s="4"/>
      <c r="BM464" s="4"/>
      <c r="BN464" s="4"/>
      <c r="BO464" s="4"/>
      <c r="BP464" s="4"/>
      <c r="BQ464" s="4"/>
      <c r="BR464" s="4"/>
      <c r="BS464" s="4"/>
      <c r="BT464" s="4"/>
      <c r="BU464" s="4"/>
      <c r="BV464" s="4"/>
    </row>
    <row r="465" spans="29:74" ht="13.2"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  <c r="BK465" s="4"/>
      <c r="BL465" s="4"/>
      <c r="BM465" s="4"/>
      <c r="BN465" s="4"/>
      <c r="BO465" s="4"/>
      <c r="BP465" s="4"/>
      <c r="BQ465" s="4"/>
      <c r="BR465" s="4"/>
      <c r="BS465" s="4"/>
      <c r="BT465" s="4"/>
      <c r="BU465" s="4"/>
      <c r="BV465" s="4"/>
    </row>
    <row r="466" spans="29:74" ht="13.2"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  <c r="BK466" s="4"/>
      <c r="BL466" s="4"/>
      <c r="BM466" s="4"/>
      <c r="BN466" s="4"/>
      <c r="BO466" s="4"/>
      <c r="BP466" s="4"/>
      <c r="BQ466" s="4"/>
      <c r="BR466" s="4"/>
      <c r="BS466" s="4"/>
      <c r="BT466" s="4"/>
      <c r="BU466" s="4"/>
      <c r="BV466" s="4"/>
    </row>
    <row r="467" spans="29:74" ht="13.2"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  <c r="BK467" s="4"/>
      <c r="BL467" s="4"/>
      <c r="BM467" s="4"/>
      <c r="BN467" s="4"/>
      <c r="BO467" s="4"/>
      <c r="BP467" s="4"/>
      <c r="BQ467" s="4"/>
      <c r="BR467" s="4"/>
      <c r="BS467" s="4"/>
      <c r="BT467" s="4"/>
      <c r="BU467" s="4"/>
      <c r="BV467" s="4"/>
    </row>
    <row r="468" spans="29:74" ht="13.2"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  <c r="BK468" s="4"/>
      <c r="BL468" s="4"/>
      <c r="BM468" s="4"/>
      <c r="BN468" s="4"/>
      <c r="BO468" s="4"/>
      <c r="BP468" s="4"/>
      <c r="BQ468" s="4"/>
      <c r="BR468" s="4"/>
      <c r="BS468" s="4"/>
      <c r="BT468" s="4"/>
      <c r="BU468" s="4"/>
      <c r="BV468" s="4"/>
    </row>
    <row r="469" spans="29:74" ht="13.2"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  <c r="BK469" s="4"/>
      <c r="BL469" s="4"/>
      <c r="BM469" s="4"/>
      <c r="BN469" s="4"/>
      <c r="BO469" s="4"/>
      <c r="BP469" s="4"/>
      <c r="BQ469" s="4"/>
      <c r="BR469" s="4"/>
      <c r="BS469" s="4"/>
      <c r="BT469" s="4"/>
      <c r="BU469" s="4"/>
      <c r="BV469" s="4"/>
    </row>
    <row r="470" spans="29:74" ht="13.2"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  <c r="BK470" s="4"/>
      <c r="BL470" s="4"/>
      <c r="BM470" s="4"/>
      <c r="BN470" s="4"/>
      <c r="BO470" s="4"/>
      <c r="BP470" s="4"/>
      <c r="BQ470" s="4"/>
      <c r="BR470" s="4"/>
      <c r="BS470" s="4"/>
      <c r="BT470" s="4"/>
      <c r="BU470" s="4"/>
      <c r="BV470" s="4"/>
    </row>
    <row r="471" spans="29:74" ht="13.2"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  <c r="BK471" s="4"/>
      <c r="BL471" s="4"/>
      <c r="BM471" s="4"/>
      <c r="BN471" s="4"/>
      <c r="BO471" s="4"/>
      <c r="BP471" s="4"/>
      <c r="BQ471" s="4"/>
      <c r="BR471" s="4"/>
      <c r="BS471" s="4"/>
      <c r="BT471" s="4"/>
      <c r="BU471" s="4"/>
      <c r="BV471" s="4"/>
    </row>
    <row r="472" spans="29:74" ht="13.2"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  <c r="BK472" s="4"/>
      <c r="BL472" s="4"/>
      <c r="BM472" s="4"/>
      <c r="BN472" s="4"/>
      <c r="BO472" s="4"/>
      <c r="BP472" s="4"/>
      <c r="BQ472" s="4"/>
      <c r="BR472" s="4"/>
      <c r="BS472" s="4"/>
      <c r="BT472" s="4"/>
      <c r="BU472" s="4"/>
      <c r="BV472" s="4"/>
    </row>
    <row r="473" spans="29:74" ht="13.2"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  <c r="BK473" s="4"/>
      <c r="BL473" s="4"/>
      <c r="BM473" s="4"/>
      <c r="BN473" s="4"/>
      <c r="BO473" s="4"/>
      <c r="BP473" s="4"/>
      <c r="BQ473" s="4"/>
      <c r="BR473" s="4"/>
      <c r="BS473" s="4"/>
      <c r="BT473" s="4"/>
      <c r="BU473" s="4"/>
      <c r="BV473" s="4"/>
    </row>
    <row r="474" spans="29:74" ht="13.2"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  <c r="BK474" s="4"/>
      <c r="BL474" s="4"/>
      <c r="BM474" s="4"/>
      <c r="BN474" s="4"/>
      <c r="BO474" s="4"/>
      <c r="BP474" s="4"/>
      <c r="BQ474" s="4"/>
      <c r="BR474" s="4"/>
      <c r="BS474" s="4"/>
      <c r="BT474" s="4"/>
      <c r="BU474" s="4"/>
      <c r="BV474" s="4"/>
    </row>
    <row r="475" spans="29:74" ht="13.2"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  <c r="BK475" s="4"/>
      <c r="BL475" s="4"/>
      <c r="BM475" s="4"/>
      <c r="BN475" s="4"/>
      <c r="BO475" s="4"/>
      <c r="BP475" s="4"/>
      <c r="BQ475" s="4"/>
      <c r="BR475" s="4"/>
      <c r="BS475" s="4"/>
      <c r="BT475" s="4"/>
      <c r="BU475" s="4"/>
      <c r="BV475" s="4"/>
    </row>
    <row r="476" spans="29:74" ht="13.2"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  <c r="BK476" s="4"/>
      <c r="BL476" s="4"/>
      <c r="BM476" s="4"/>
      <c r="BN476" s="4"/>
      <c r="BO476" s="4"/>
      <c r="BP476" s="4"/>
      <c r="BQ476" s="4"/>
      <c r="BR476" s="4"/>
      <c r="BS476" s="4"/>
      <c r="BT476" s="4"/>
      <c r="BU476" s="4"/>
      <c r="BV476" s="4"/>
    </row>
    <row r="477" spans="29:74" ht="13.2"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  <c r="BK477" s="4"/>
      <c r="BL477" s="4"/>
      <c r="BM477" s="4"/>
      <c r="BN477" s="4"/>
      <c r="BO477" s="4"/>
      <c r="BP477" s="4"/>
      <c r="BQ477" s="4"/>
      <c r="BR477" s="4"/>
      <c r="BS477" s="4"/>
      <c r="BT477" s="4"/>
      <c r="BU477" s="4"/>
      <c r="BV477" s="4"/>
    </row>
    <row r="478" spans="29:74" ht="13.2"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  <c r="BK478" s="4"/>
      <c r="BL478" s="4"/>
      <c r="BM478" s="4"/>
      <c r="BN478" s="4"/>
      <c r="BO478" s="4"/>
      <c r="BP478" s="4"/>
      <c r="BQ478" s="4"/>
      <c r="BR478" s="4"/>
      <c r="BS478" s="4"/>
      <c r="BT478" s="4"/>
      <c r="BU478" s="4"/>
      <c r="BV478" s="4"/>
    </row>
    <row r="479" spans="29:74" ht="13.2"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  <c r="BK479" s="4"/>
      <c r="BL479" s="4"/>
      <c r="BM479" s="4"/>
      <c r="BN479" s="4"/>
      <c r="BO479" s="4"/>
      <c r="BP479" s="4"/>
      <c r="BQ479" s="4"/>
      <c r="BR479" s="4"/>
      <c r="BS479" s="4"/>
      <c r="BT479" s="4"/>
      <c r="BU479" s="4"/>
      <c r="BV479" s="4"/>
    </row>
    <row r="480" spans="29:74" ht="13.2"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  <c r="BK480" s="4"/>
      <c r="BL480" s="4"/>
      <c r="BM480" s="4"/>
      <c r="BN480" s="4"/>
      <c r="BO480" s="4"/>
      <c r="BP480" s="4"/>
      <c r="BQ480" s="4"/>
      <c r="BR480" s="4"/>
      <c r="BS480" s="4"/>
      <c r="BT480" s="4"/>
      <c r="BU480" s="4"/>
      <c r="BV480" s="4"/>
    </row>
    <row r="481" spans="29:74" ht="13.2"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  <c r="BK481" s="4"/>
      <c r="BL481" s="4"/>
      <c r="BM481" s="4"/>
      <c r="BN481" s="4"/>
      <c r="BO481" s="4"/>
      <c r="BP481" s="4"/>
      <c r="BQ481" s="4"/>
      <c r="BR481" s="4"/>
      <c r="BS481" s="4"/>
      <c r="BT481" s="4"/>
      <c r="BU481" s="4"/>
      <c r="BV481" s="4"/>
    </row>
    <row r="482" spans="29:74" ht="13.2"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  <c r="BK482" s="4"/>
      <c r="BL482" s="4"/>
      <c r="BM482" s="4"/>
      <c r="BN482" s="4"/>
      <c r="BO482" s="4"/>
      <c r="BP482" s="4"/>
      <c r="BQ482" s="4"/>
      <c r="BR482" s="4"/>
      <c r="BS482" s="4"/>
      <c r="BT482" s="4"/>
      <c r="BU482" s="4"/>
      <c r="BV482" s="4"/>
    </row>
    <row r="483" spans="29:74" ht="13.2"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  <c r="BK483" s="4"/>
      <c r="BL483" s="4"/>
      <c r="BM483" s="4"/>
      <c r="BN483" s="4"/>
      <c r="BO483" s="4"/>
      <c r="BP483" s="4"/>
      <c r="BQ483" s="4"/>
      <c r="BR483" s="4"/>
      <c r="BS483" s="4"/>
      <c r="BT483" s="4"/>
      <c r="BU483" s="4"/>
      <c r="BV483" s="4"/>
    </row>
    <row r="484" spans="29:74" ht="13.2"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  <c r="BK484" s="4"/>
      <c r="BL484" s="4"/>
      <c r="BM484" s="4"/>
      <c r="BN484" s="4"/>
      <c r="BO484" s="4"/>
      <c r="BP484" s="4"/>
      <c r="BQ484" s="4"/>
      <c r="BR484" s="4"/>
      <c r="BS484" s="4"/>
      <c r="BT484" s="4"/>
      <c r="BU484" s="4"/>
      <c r="BV484" s="4"/>
    </row>
    <row r="485" spans="29:74" ht="13.2"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  <c r="BC485" s="4"/>
      <c r="BD485" s="4"/>
      <c r="BE485" s="4"/>
      <c r="BF485" s="4"/>
      <c r="BG485" s="4"/>
      <c r="BH485" s="4"/>
      <c r="BI485" s="4"/>
      <c r="BJ485" s="4"/>
      <c r="BK485" s="4"/>
      <c r="BL485" s="4"/>
      <c r="BM485" s="4"/>
      <c r="BN485" s="4"/>
      <c r="BO485" s="4"/>
      <c r="BP485" s="4"/>
      <c r="BQ485" s="4"/>
      <c r="BR485" s="4"/>
      <c r="BS485" s="4"/>
      <c r="BT485" s="4"/>
      <c r="BU485" s="4"/>
      <c r="BV485" s="4"/>
    </row>
    <row r="486" spans="29:74" ht="13.2"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  <c r="BC486" s="4"/>
      <c r="BD486" s="4"/>
      <c r="BE486" s="4"/>
      <c r="BF486" s="4"/>
      <c r="BG486" s="4"/>
      <c r="BH486" s="4"/>
      <c r="BI486" s="4"/>
      <c r="BJ486" s="4"/>
      <c r="BK486" s="4"/>
      <c r="BL486" s="4"/>
      <c r="BM486" s="4"/>
      <c r="BN486" s="4"/>
      <c r="BO486" s="4"/>
      <c r="BP486" s="4"/>
      <c r="BQ486" s="4"/>
      <c r="BR486" s="4"/>
      <c r="BS486" s="4"/>
      <c r="BT486" s="4"/>
      <c r="BU486" s="4"/>
      <c r="BV486" s="4"/>
    </row>
    <row r="487" spans="29:74" ht="13.2"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4"/>
      <c r="BC487" s="4"/>
      <c r="BD487" s="4"/>
      <c r="BE487" s="4"/>
      <c r="BF487" s="4"/>
      <c r="BG487" s="4"/>
      <c r="BH487" s="4"/>
      <c r="BI487" s="4"/>
      <c r="BJ487" s="4"/>
      <c r="BK487" s="4"/>
      <c r="BL487" s="4"/>
      <c r="BM487" s="4"/>
      <c r="BN487" s="4"/>
      <c r="BO487" s="4"/>
      <c r="BP487" s="4"/>
      <c r="BQ487" s="4"/>
      <c r="BR487" s="4"/>
      <c r="BS487" s="4"/>
      <c r="BT487" s="4"/>
      <c r="BU487" s="4"/>
      <c r="BV487" s="4"/>
    </row>
    <row r="488" spans="29:74" ht="13.2"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4"/>
      <c r="BC488" s="4"/>
      <c r="BD488" s="4"/>
      <c r="BE488" s="4"/>
      <c r="BF488" s="4"/>
      <c r="BG488" s="4"/>
      <c r="BH488" s="4"/>
      <c r="BI488" s="4"/>
      <c r="BJ488" s="4"/>
      <c r="BK488" s="4"/>
      <c r="BL488" s="4"/>
      <c r="BM488" s="4"/>
      <c r="BN488" s="4"/>
      <c r="BO488" s="4"/>
      <c r="BP488" s="4"/>
      <c r="BQ488" s="4"/>
      <c r="BR488" s="4"/>
      <c r="BS488" s="4"/>
      <c r="BT488" s="4"/>
      <c r="BU488" s="4"/>
      <c r="BV488" s="4"/>
    </row>
    <row r="489" spans="29:74" ht="13.2"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F489" s="4"/>
      <c r="BG489" s="4"/>
      <c r="BH489" s="4"/>
      <c r="BI489" s="4"/>
      <c r="BJ489" s="4"/>
      <c r="BK489" s="4"/>
      <c r="BL489" s="4"/>
      <c r="BM489" s="4"/>
      <c r="BN489" s="4"/>
      <c r="BO489" s="4"/>
      <c r="BP489" s="4"/>
      <c r="BQ489" s="4"/>
      <c r="BR489" s="4"/>
      <c r="BS489" s="4"/>
      <c r="BT489" s="4"/>
      <c r="BU489" s="4"/>
      <c r="BV489" s="4"/>
    </row>
    <row r="490" spans="29:74" ht="13.2"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F490" s="4"/>
      <c r="BG490" s="4"/>
      <c r="BH490" s="4"/>
      <c r="BI490" s="4"/>
      <c r="BJ490" s="4"/>
      <c r="BK490" s="4"/>
      <c r="BL490" s="4"/>
      <c r="BM490" s="4"/>
      <c r="BN490" s="4"/>
      <c r="BO490" s="4"/>
      <c r="BP490" s="4"/>
      <c r="BQ490" s="4"/>
      <c r="BR490" s="4"/>
      <c r="BS490" s="4"/>
      <c r="BT490" s="4"/>
      <c r="BU490" s="4"/>
      <c r="BV490" s="4"/>
    </row>
    <row r="491" spans="29:74" ht="13.2"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4"/>
      <c r="BE491" s="4"/>
      <c r="BF491" s="4"/>
      <c r="BG491" s="4"/>
      <c r="BH491" s="4"/>
      <c r="BI491" s="4"/>
      <c r="BJ491" s="4"/>
      <c r="BK491" s="4"/>
      <c r="BL491" s="4"/>
      <c r="BM491" s="4"/>
      <c r="BN491" s="4"/>
      <c r="BO491" s="4"/>
      <c r="BP491" s="4"/>
      <c r="BQ491" s="4"/>
      <c r="BR491" s="4"/>
      <c r="BS491" s="4"/>
      <c r="BT491" s="4"/>
      <c r="BU491" s="4"/>
      <c r="BV491" s="4"/>
    </row>
    <row r="492" spans="29:74" ht="13.2"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/>
      <c r="BF492" s="4"/>
      <c r="BG492" s="4"/>
      <c r="BH492" s="4"/>
      <c r="BI492" s="4"/>
      <c r="BJ492" s="4"/>
      <c r="BK492" s="4"/>
      <c r="BL492" s="4"/>
      <c r="BM492" s="4"/>
      <c r="BN492" s="4"/>
      <c r="BO492" s="4"/>
      <c r="BP492" s="4"/>
      <c r="BQ492" s="4"/>
      <c r="BR492" s="4"/>
      <c r="BS492" s="4"/>
      <c r="BT492" s="4"/>
      <c r="BU492" s="4"/>
      <c r="BV492" s="4"/>
    </row>
    <row r="493" spans="29:74" ht="13.2"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F493" s="4"/>
      <c r="BG493" s="4"/>
      <c r="BH493" s="4"/>
      <c r="BI493" s="4"/>
      <c r="BJ493" s="4"/>
      <c r="BK493" s="4"/>
      <c r="BL493" s="4"/>
      <c r="BM493" s="4"/>
      <c r="BN493" s="4"/>
      <c r="BO493" s="4"/>
      <c r="BP493" s="4"/>
      <c r="BQ493" s="4"/>
      <c r="BR493" s="4"/>
      <c r="BS493" s="4"/>
      <c r="BT493" s="4"/>
      <c r="BU493" s="4"/>
      <c r="BV493" s="4"/>
    </row>
    <row r="494" spans="29:74" ht="13.2"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4"/>
      <c r="BE494" s="4"/>
      <c r="BF494" s="4"/>
      <c r="BG494" s="4"/>
      <c r="BH494" s="4"/>
      <c r="BI494" s="4"/>
      <c r="BJ494" s="4"/>
      <c r="BK494" s="4"/>
      <c r="BL494" s="4"/>
      <c r="BM494" s="4"/>
      <c r="BN494" s="4"/>
      <c r="BO494" s="4"/>
      <c r="BP494" s="4"/>
      <c r="BQ494" s="4"/>
      <c r="BR494" s="4"/>
      <c r="BS494" s="4"/>
      <c r="BT494" s="4"/>
      <c r="BU494" s="4"/>
      <c r="BV494" s="4"/>
    </row>
    <row r="495" spans="29:74" ht="13.2"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  <c r="BC495" s="4"/>
      <c r="BD495" s="4"/>
      <c r="BE495" s="4"/>
      <c r="BF495" s="4"/>
      <c r="BG495" s="4"/>
      <c r="BH495" s="4"/>
      <c r="BI495" s="4"/>
      <c r="BJ495" s="4"/>
      <c r="BK495" s="4"/>
      <c r="BL495" s="4"/>
      <c r="BM495" s="4"/>
      <c r="BN495" s="4"/>
      <c r="BO495" s="4"/>
      <c r="BP495" s="4"/>
      <c r="BQ495" s="4"/>
      <c r="BR495" s="4"/>
      <c r="BS495" s="4"/>
      <c r="BT495" s="4"/>
      <c r="BU495" s="4"/>
      <c r="BV495" s="4"/>
    </row>
    <row r="496" spans="29:74" ht="13.2"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4"/>
      <c r="BC496" s="4"/>
      <c r="BD496" s="4"/>
      <c r="BE496" s="4"/>
      <c r="BF496" s="4"/>
      <c r="BG496" s="4"/>
      <c r="BH496" s="4"/>
      <c r="BI496" s="4"/>
      <c r="BJ496" s="4"/>
      <c r="BK496" s="4"/>
      <c r="BL496" s="4"/>
      <c r="BM496" s="4"/>
      <c r="BN496" s="4"/>
      <c r="BO496" s="4"/>
      <c r="BP496" s="4"/>
      <c r="BQ496" s="4"/>
      <c r="BR496" s="4"/>
      <c r="BS496" s="4"/>
      <c r="BT496" s="4"/>
      <c r="BU496" s="4"/>
      <c r="BV496" s="4"/>
    </row>
    <row r="497" spans="29:74" ht="13.2"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  <c r="BC497" s="4"/>
      <c r="BD497" s="4"/>
      <c r="BE497" s="4"/>
      <c r="BF497" s="4"/>
      <c r="BG497" s="4"/>
      <c r="BH497" s="4"/>
      <c r="BI497" s="4"/>
      <c r="BJ497" s="4"/>
      <c r="BK497" s="4"/>
      <c r="BL497" s="4"/>
      <c r="BM497" s="4"/>
      <c r="BN497" s="4"/>
      <c r="BO497" s="4"/>
      <c r="BP497" s="4"/>
      <c r="BQ497" s="4"/>
      <c r="BR497" s="4"/>
      <c r="BS497" s="4"/>
      <c r="BT497" s="4"/>
      <c r="BU497" s="4"/>
      <c r="BV497" s="4"/>
    </row>
    <row r="498" spans="29:74" ht="13.2"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4"/>
      <c r="BC498" s="4"/>
      <c r="BD498" s="4"/>
      <c r="BE498" s="4"/>
      <c r="BF498" s="4"/>
      <c r="BG498" s="4"/>
      <c r="BH498" s="4"/>
      <c r="BI498" s="4"/>
      <c r="BJ498" s="4"/>
      <c r="BK498" s="4"/>
      <c r="BL498" s="4"/>
      <c r="BM498" s="4"/>
      <c r="BN498" s="4"/>
      <c r="BO498" s="4"/>
      <c r="BP498" s="4"/>
      <c r="BQ498" s="4"/>
      <c r="BR498" s="4"/>
      <c r="BS498" s="4"/>
      <c r="BT498" s="4"/>
      <c r="BU498" s="4"/>
      <c r="BV498" s="4"/>
    </row>
    <row r="499" spans="29:74" ht="13.2"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4"/>
      <c r="BC499" s="4"/>
      <c r="BD499" s="4"/>
      <c r="BE499" s="4"/>
      <c r="BF499" s="4"/>
      <c r="BG499" s="4"/>
      <c r="BH499" s="4"/>
      <c r="BI499" s="4"/>
      <c r="BJ499" s="4"/>
      <c r="BK499" s="4"/>
      <c r="BL499" s="4"/>
      <c r="BM499" s="4"/>
      <c r="BN499" s="4"/>
      <c r="BO499" s="4"/>
      <c r="BP499" s="4"/>
      <c r="BQ499" s="4"/>
      <c r="BR499" s="4"/>
      <c r="BS499" s="4"/>
      <c r="BT499" s="4"/>
      <c r="BU499" s="4"/>
      <c r="BV499" s="4"/>
    </row>
    <row r="500" spans="29:74" ht="13.2"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4"/>
      <c r="BC500" s="4"/>
      <c r="BD500" s="4"/>
      <c r="BE500" s="4"/>
      <c r="BF500" s="4"/>
      <c r="BG500" s="4"/>
      <c r="BH500" s="4"/>
      <c r="BI500" s="4"/>
      <c r="BJ500" s="4"/>
      <c r="BK500" s="4"/>
      <c r="BL500" s="4"/>
      <c r="BM500" s="4"/>
      <c r="BN500" s="4"/>
      <c r="BO500" s="4"/>
      <c r="BP500" s="4"/>
      <c r="BQ500" s="4"/>
      <c r="BR500" s="4"/>
      <c r="BS500" s="4"/>
      <c r="BT500" s="4"/>
      <c r="BU500" s="4"/>
      <c r="BV500" s="4"/>
    </row>
    <row r="501" spans="29:74" ht="13.2"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  <c r="BC501" s="4"/>
      <c r="BD501" s="4"/>
      <c r="BE501" s="4"/>
      <c r="BF501" s="4"/>
      <c r="BG501" s="4"/>
      <c r="BH501" s="4"/>
      <c r="BI501" s="4"/>
      <c r="BJ501" s="4"/>
      <c r="BK501" s="4"/>
      <c r="BL501" s="4"/>
      <c r="BM501" s="4"/>
      <c r="BN501" s="4"/>
      <c r="BO501" s="4"/>
      <c r="BP501" s="4"/>
      <c r="BQ501" s="4"/>
      <c r="BR501" s="4"/>
      <c r="BS501" s="4"/>
      <c r="BT501" s="4"/>
      <c r="BU501" s="4"/>
      <c r="BV501" s="4"/>
    </row>
    <row r="502" spans="29:74" ht="13.2"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  <c r="BC502" s="4"/>
      <c r="BD502" s="4"/>
      <c r="BE502" s="4"/>
      <c r="BF502" s="4"/>
      <c r="BG502" s="4"/>
      <c r="BH502" s="4"/>
      <c r="BI502" s="4"/>
      <c r="BJ502" s="4"/>
      <c r="BK502" s="4"/>
      <c r="BL502" s="4"/>
      <c r="BM502" s="4"/>
      <c r="BN502" s="4"/>
      <c r="BO502" s="4"/>
      <c r="BP502" s="4"/>
      <c r="BQ502" s="4"/>
      <c r="BR502" s="4"/>
      <c r="BS502" s="4"/>
      <c r="BT502" s="4"/>
      <c r="BU502" s="4"/>
      <c r="BV502" s="4"/>
    </row>
    <row r="503" spans="29:74" ht="13.2"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4"/>
      <c r="BC503" s="4"/>
      <c r="BD503" s="4"/>
      <c r="BE503" s="4"/>
      <c r="BF503" s="4"/>
      <c r="BG503" s="4"/>
      <c r="BH503" s="4"/>
      <c r="BI503" s="4"/>
      <c r="BJ503" s="4"/>
      <c r="BK503" s="4"/>
      <c r="BL503" s="4"/>
      <c r="BM503" s="4"/>
      <c r="BN503" s="4"/>
      <c r="BO503" s="4"/>
      <c r="BP503" s="4"/>
      <c r="BQ503" s="4"/>
      <c r="BR503" s="4"/>
      <c r="BS503" s="4"/>
      <c r="BT503" s="4"/>
      <c r="BU503" s="4"/>
      <c r="BV503" s="4"/>
    </row>
    <row r="504" spans="29:74" ht="13.2"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  <c r="BC504" s="4"/>
      <c r="BD504" s="4"/>
      <c r="BE504" s="4"/>
      <c r="BF504" s="4"/>
      <c r="BG504" s="4"/>
      <c r="BH504" s="4"/>
      <c r="BI504" s="4"/>
      <c r="BJ504" s="4"/>
      <c r="BK504" s="4"/>
      <c r="BL504" s="4"/>
      <c r="BM504" s="4"/>
      <c r="BN504" s="4"/>
      <c r="BO504" s="4"/>
      <c r="BP504" s="4"/>
      <c r="BQ504" s="4"/>
      <c r="BR504" s="4"/>
      <c r="BS504" s="4"/>
      <c r="BT504" s="4"/>
      <c r="BU504" s="4"/>
      <c r="BV504" s="4"/>
    </row>
    <row r="505" spans="29:74" ht="13.2"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4"/>
      <c r="BC505" s="4"/>
      <c r="BD505" s="4"/>
      <c r="BE505" s="4"/>
      <c r="BF505" s="4"/>
      <c r="BG505" s="4"/>
      <c r="BH505" s="4"/>
      <c r="BI505" s="4"/>
      <c r="BJ505" s="4"/>
      <c r="BK505" s="4"/>
      <c r="BL505" s="4"/>
      <c r="BM505" s="4"/>
      <c r="BN505" s="4"/>
      <c r="BO505" s="4"/>
      <c r="BP505" s="4"/>
      <c r="BQ505" s="4"/>
      <c r="BR505" s="4"/>
      <c r="BS505" s="4"/>
      <c r="BT505" s="4"/>
      <c r="BU505" s="4"/>
      <c r="BV505" s="4"/>
    </row>
    <row r="506" spans="29:74" ht="13.2"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  <c r="BC506" s="4"/>
      <c r="BD506" s="4"/>
      <c r="BE506" s="4"/>
      <c r="BF506" s="4"/>
      <c r="BG506" s="4"/>
      <c r="BH506" s="4"/>
      <c r="BI506" s="4"/>
      <c r="BJ506" s="4"/>
      <c r="BK506" s="4"/>
      <c r="BL506" s="4"/>
      <c r="BM506" s="4"/>
      <c r="BN506" s="4"/>
      <c r="BO506" s="4"/>
      <c r="BP506" s="4"/>
      <c r="BQ506" s="4"/>
      <c r="BR506" s="4"/>
      <c r="BS506" s="4"/>
      <c r="BT506" s="4"/>
      <c r="BU506" s="4"/>
      <c r="BV506" s="4"/>
    </row>
    <row r="507" spans="29:74" ht="13.2"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  <c r="BC507" s="4"/>
      <c r="BD507" s="4"/>
      <c r="BE507" s="4"/>
      <c r="BF507" s="4"/>
      <c r="BG507" s="4"/>
      <c r="BH507" s="4"/>
      <c r="BI507" s="4"/>
      <c r="BJ507" s="4"/>
      <c r="BK507" s="4"/>
      <c r="BL507" s="4"/>
      <c r="BM507" s="4"/>
      <c r="BN507" s="4"/>
      <c r="BO507" s="4"/>
      <c r="BP507" s="4"/>
      <c r="BQ507" s="4"/>
      <c r="BR507" s="4"/>
      <c r="BS507" s="4"/>
      <c r="BT507" s="4"/>
      <c r="BU507" s="4"/>
      <c r="BV507" s="4"/>
    </row>
    <row r="508" spans="29:74" ht="13.2"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  <c r="BC508" s="4"/>
      <c r="BD508" s="4"/>
      <c r="BE508" s="4"/>
      <c r="BF508" s="4"/>
      <c r="BG508" s="4"/>
      <c r="BH508" s="4"/>
      <c r="BI508" s="4"/>
      <c r="BJ508" s="4"/>
      <c r="BK508" s="4"/>
      <c r="BL508" s="4"/>
      <c r="BM508" s="4"/>
      <c r="BN508" s="4"/>
      <c r="BO508" s="4"/>
      <c r="BP508" s="4"/>
      <c r="BQ508" s="4"/>
      <c r="BR508" s="4"/>
      <c r="BS508" s="4"/>
      <c r="BT508" s="4"/>
      <c r="BU508" s="4"/>
      <c r="BV508" s="4"/>
    </row>
    <row r="509" spans="29:74" ht="13.2"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  <c r="BC509" s="4"/>
      <c r="BD509" s="4"/>
      <c r="BE509" s="4"/>
      <c r="BF509" s="4"/>
      <c r="BG509" s="4"/>
      <c r="BH509" s="4"/>
      <c r="BI509" s="4"/>
      <c r="BJ509" s="4"/>
      <c r="BK509" s="4"/>
      <c r="BL509" s="4"/>
      <c r="BM509" s="4"/>
      <c r="BN509" s="4"/>
      <c r="BO509" s="4"/>
      <c r="BP509" s="4"/>
      <c r="BQ509" s="4"/>
      <c r="BR509" s="4"/>
      <c r="BS509" s="4"/>
      <c r="BT509" s="4"/>
      <c r="BU509" s="4"/>
      <c r="BV509" s="4"/>
    </row>
    <row r="510" spans="29:74" ht="13.2"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  <c r="BC510" s="4"/>
      <c r="BD510" s="4"/>
      <c r="BE510" s="4"/>
      <c r="BF510" s="4"/>
      <c r="BG510" s="4"/>
      <c r="BH510" s="4"/>
      <c r="BI510" s="4"/>
      <c r="BJ510" s="4"/>
      <c r="BK510" s="4"/>
      <c r="BL510" s="4"/>
      <c r="BM510" s="4"/>
      <c r="BN510" s="4"/>
      <c r="BO510" s="4"/>
      <c r="BP510" s="4"/>
      <c r="BQ510" s="4"/>
      <c r="BR510" s="4"/>
      <c r="BS510" s="4"/>
      <c r="BT510" s="4"/>
      <c r="BU510" s="4"/>
      <c r="BV510" s="4"/>
    </row>
    <row r="511" spans="29:74" ht="13.2"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  <c r="BC511" s="4"/>
      <c r="BD511" s="4"/>
      <c r="BE511" s="4"/>
      <c r="BF511" s="4"/>
      <c r="BG511" s="4"/>
      <c r="BH511" s="4"/>
      <c r="BI511" s="4"/>
      <c r="BJ511" s="4"/>
      <c r="BK511" s="4"/>
      <c r="BL511" s="4"/>
      <c r="BM511" s="4"/>
      <c r="BN511" s="4"/>
      <c r="BO511" s="4"/>
      <c r="BP511" s="4"/>
      <c r="BQ511" s="4"/>
      <c r="BR511" s="4"/>
      <c r="BS511" s="4"/>
      <c r="BT511" s="4"/>
      <c r="BU511" s="4"/>
      <c r="BV511" s="4"/>
    </row>
    <row r="512" spans="29:74" ht="13.2"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4"/>
      <c r="BE512" s="4"/>
      <c r="BF512" s="4"/>
      <c r="BG512" s="4"/>
      <c r="BH512" s="4"/>
      <c r="BI512" s="4"/>
      <c r="BJ512" s="4"/>
      <c r="BK512" s="4"/>
      <c r="BL512" s="4"/>
      <c r="BM512" s="4"/>
      <c r="BN512" s="4"/>
      <c r="BO512" s="4"/>
      <c r="BP512" s="4"/>
      <c r="BQ512" s="4"/>
      <c r="BR512" s="4"/>
      <c r="BS512" s="4"/>
      <c r="BT512" s="4"/>
      <c r="BU512" s="4"/>
      <c r="BV512" s="4"/>
    </row>
    <row r="513" spans="29:74" ht="13.2"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  <c r="BC513" s="4"/>
      <c r="BD513" s="4"/>
      <c r="BE513" s="4"/>
      <c r="BF513" s="4"/>
      <c r="BG513" s="4"/>
      <c r="BH513" s="4"/>
      <c r="BI513" s="4"/>
      <c r="BJ513" s="4"/>
      <c r="BK513" s="4"/>
      <c r="BL513" s="4"/>
      <c r="BM513" s="4"/>
      <c r="BN513" s="4"/>
      <c r="BO513" s="4"/>
      <c r="BP513" s="4"/>
      <c r="BQ513" s="4"/>
      <c r="BR513" s="4"/>
      <c r="BS513" s="4"/>
      <c r="BT513" s="4"/>
      <c r="BU513" s="4"/>
      <c r="BV513" s="4"/>
    </row>
    <row r="514" spans="29:74" ht="13.2"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4"/>
      <c r="BE514" s="4"/>
      <c r="BF514" s="4"/>
      <c r="BG514" s="4"/>
      <c r="BH514" s="4"/>
      <c r="BI514" s="4"/>
      <c r="BJ514" s="4"/>
      <c r="BK514" s="4"/>
      <c r="BL514" s="4"/>
      <c r="BM514" s="4"/>
      <c r="BN514" s="4"/>
      <c r="BO514" s="4"/>
      <c r="BP514" s="4"/>
      <c r="BQ514" s="4"/>
      <c r="BR514" s="4"/>
      <c r="BS514" s="4"/>
      <c r="BT514" s="4"/>
      <c r="BU514" s="4"/>
      <c r="BV514" s="4"/>
    </row>
    <row r="515" spans="29:74" ht="13.2"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4"/>
      <c r="BC515" s="4"/>
      <c r="BD515" s="4"/>
      <c r="BE515" s="4"/>
      <c r="BF515" s="4"/>
      <c r="BG515" s="4"/>
      <c r="BH515" s="4"/>
      <c r="BI515" s="4"/>
      <c r="BJ515" s="4"/>
      <c r="BK515" s="4"/>
      <c r="BL515" s="4"/>
      <c r="BM515" s="4"/>
      <c r="BN515" s="4"/>
      <c r="BO515" s="4"/>
      <c r="BP515" s="4"/>
      <c r="BQ515" s="4"/>
      <c r="BR515" s="4"/>
      <c r="BS515" s="4"/>
      <c r="BT515" s="4"/>
      <c r="BU515" s="4"/>
      <c r="BV515" s="4"/>
    </row>
    <row r="516" spans="29:74" ht="13.2"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4"/>
      <c r="BC516" s="4"/>
      <c r="BD516" s="4"/>
      <c r="BE516" s="4"/>
      <c r="BF516" s="4"/>
      <c r="BG516" s="4"/>
      <c r="BH516" s="4"/>
      <c r="BI516" s="4"/>
      <c r="BJ516" s="4"/>
      <c r="BK516" s="4"/>
      <c r="BL516" s="4"/>
      <c r="BM516" s="4"/>
      <c r="BN516" s="4"/>
      <c r="BO516" s="4"/>
      <c r="BP516" s="4"/>
      <c r="BQ516" s="4"/>
      <c r="BR516" s="4"/>
      <c r="BS516" s="4"/>
      <c r="BT516" s="4"/>
      <c r="BU516" s="4"/>
      <c r="BV516" s="4"/>
    </row>
    <row r="517" spans="29:74" ht="13.2"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  <c r="BC517" s="4"/>
      <c r="BD517" s="4"/>
      <c r="BE517" s="4"/>
      <c r="BF517" s="4"/>
      <c r="BG517" s="4"/>
      <c r="BH517" s="4"/>
      <c r="BI517" s="4"/>
      <c r="BJ517" s="4"/>
      <c r="BK517" s="4"/>
      <c r="BL517" s="4"/>
      <c r="BM517" s="4"/>
      <c r="BN517" s="4"/>
      <c r="BO517" s="4"/>
      <c r="BP517" s="4"/>
      <c r="BQ517" s="4"/>
      <c r="BR517" s="4"/>
      <c r="BS517" s="4"/>
      <c r="BT517" s="4"/>
      <c r="BU517" s="4"/>
      <c r="BV517" s="4"/>
    </row>
    <row r="518" spans="29:74" ht="13.2"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  <c r="BK518" s="4"/>
      <c r="BL518" s="4"/>
      <c r="BM518" s="4"/>
      <c r="BN518" s="4"/>
      <c r="BO518" s="4"/>
      <c r="BP518" s="4"/>
      <c r="BQ518" s="4"/>
      <c r="BR518" s="4"/>
      <c r="BS518" s="4"/>
      <c r="BT518" s="4"/>
      <c r="BU518" s="4"/>
      <c r="BV518" s="4"/>
    </row>
    <row r="519" spans="29:74" ht="13.2"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  <c r="BK519" s="4"/>
      <c r="BL519" s="4"/>
      <c r="BM519" s="4"/>
      <c r="BN519" s="4"/>
      <c r="BO519" s="4"/>
      <c r="BP519" s="4"/>
      <c r="BQ519" s="4"/>
      <c r="BR519" s="4"/>
      <c r="BS519" s="4"/>
      <c r="BT519" s="4"/>
      <c r="BU519" s="4"/>
      <c r="BV519" s="4"/>
    </row>
    <row r="520" spans="29:74" ht="13.2"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/>
      <c r="BE520" s="4"/>
      <c r="BF520" s="4"/>
      <c r="BG520" s="4"/>
      <c r="BH520" s="4"/>
      <c r="BI520" s="4"/>
      <c r="BJ520" s="4"/>
      <c r="BK520" s="4"/>
      <c r="BL520" s="4"/>
      <c r="BM520" s="4"/>
      <c r="BN520" s="4"/>
      <c r="BO520" s="4"/>
      <c r="BP520" s="4"/>
      <c r="BQ520" s="4"/>
      <c r="BR520" s="4"/>
      <c r="BS520" s="4"/>
      <c r="BT520" s="4"/>
      <c r="BU520" s="4"/>
      <c r="BV520" s="4"/>
    </row>
    <row r="521" spans="29:74" ht="13.2"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  <c r="BC521" s="4"/>
      <c r="BD521" s="4"/>
      <c r="BE521" s="4"/>
      <c r="BF521" s="4"/>
      <c r="BG521" s="4"/>
      <c r="BH521" s="4"/>
      <c r="BI521" s="4"/>
      <c r="BJ521" s="4"/>
      <c r="BK521" s="4"/>
      <c r="BL521" s="4"/>
      <c r="BM521" s="4"/>
      <c r="BN521" s="4"/>
      <c r="BO521" s="4"/>
      <c r="BP521" s="4"/>
      <c r="BQ521" s="4"/>
      <c r="BR521" s="4"/>
      <c r="BS521" s="4"/>
      <c r="BT521" s="4"/>
      <c r="BU521" s="4"/>
      <c r="BV521" s="4"/>
    </row>
    <row r="522" spans="29:74" ht="13.2"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  <c r="BC522" s="4"/>
      <c r="BD522" s="4"/>
      <c r="BE522" s="4"/>
      <c r="BF522" s="4"/>
      <c r="BG522" s="4"/>
      <c r="BH522" s="4"/>
      <c r="BI522" s="4"/>
      <c r="BJ522" s="4"/>
      <c r="BK522" s="4"/>
      <c r="BL522" s="4"/>
      <c r="BM522" s="4"/>
      <c r="BN522" s="4"/>
      <c r="BO522" s="4"/>
      <c r="BP522" s="4"/>
      <c r="BQ522" s="4"/>
      <c r="BR522" s="4"/>
      <c r="BS522" s="4"/>
      <c r="BT522" s="4"/>
      <c r="BU522" s="4"/>
      <c r="BV522" s="4"/>
    </row>
    <row r="523" spans="29:74" ht="13.2"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  <c r="BK523" s="4"/>
      <c r="BL523" s="4"/>
      <c r="BM523" s="4"/>
      <c r="BN523" s="4"/>
      <c r="BO523" s="4"/>
      <c r="BP523" s="4"/>
      <c r="BQ523" s="4"/>
      <c r="BR523" s="4"/>
      <c r="BS523" s="4"/>
      <c r="BT523" s="4"/>
      <c r="BU523" s="4"/>
      <c r="BV523" s="4"/>
    </row>
    <row r="524" spans="29:74" ht="13.2"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/>
      <c r="BF524" s="4"/>
      <c r="BG524" s="4"/>
      <c r="BH524" s="4"/>
      <c r="BI524" s="4"/>
      <c r="BJ524" s="4"/>
      <c r="BK524" s="4"/>
      <c r="BL524" s="4"/>
      <c r="BM524" s="4"/>
      <c r="BN524" s="4"/>
      <c r="BO524" s="4"/>
      <c r="BP524" s="4"/>
      <c r="BQ524" s="4"/>
      <c r="BR524" s="4"/>
      <c r="BS524" s="4"/>
      <c r="BT524" s="4"/>
      <c r="BU524" s="4"/>
      <c r="BV524" s="4"/>
    </row>
    <row r="525" spans="29:74" ht="13.2"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  <c r="BC525" s="4"/>
      <c r="BD525" s="4"/>
      <c r="BE525" s="4"/>
      <c r="BF525" s="4"/>
      <c r="BG525" s="4"/>
      <c r="BH525" s="4"/>
      <c r="BI525" s="4"/>
      <c r="BJ525" s="4"/>
      <c r="BK525" s="4"/>
      <c r="BL525" s="4"/>
      <c r="BM525" s="4"/>
      <c r="BN525" s="4"/>
      <c r="BO525" s="4"/>
      <c r="BP525" s="4"/>
      <c r="BQ525" s="4"/>
      <c r="BR525" s="4"/>
      <c r="BS525" s="4"/>
      <c r="BT525" s="4"/>
      <c r="BU525" s="4"/>
      <c r="BV525" s="4"/>
    </row>
    <row r="526" spans="29:74" ht="13.2"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4"/>
      <c r="BC526" s="4"/>
      <c r="BD526" s="4"/>
      <c r="BE526" s="4"/>
      <c r="BF526" s="4"/>
      <c r="BG526" s="4"/>
      <c r="BH526" s="4"/>
      <c r="BI526" s="4"/>
      <c r="BJ526" s="4"/>
      <c r="BK526" s="4"/>
      <c r="BL526" s="4"/>
      <c r="BM526" s="4"/>
      <c r="BN526" s="4"/>
      <c r="BO526" s="4"/>
      <c r="BP526" s="4"/>
      <c r="BQ526" s="4"/>
      <c r="BR526" s="4"/>
      <c r="BS526" s="4"/>
      <c r="BT526" s="4"/>
      <c r="BU526" s="4"/>
      <c r="BV526" s="4"/>
    </row>
    <row r="527" spans="29:74" ht="13.2"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  <c r="BC527" s="4"/>
      <c r="BD527" s="4"/>
      <c r="BE527" s="4"/>
      <c r="BF527" s="4"/>
      <c r="BG527" s="4"/>
      <c r="BH527" s="4"/>
      <c r="BI527" s="4"/>
      <c r="BJ527" s="4"/>
      <c r="BK527" s="4"/>
      <c r="BL527" s="4"/>
      <c r="BM527" s="4"/>
      <c r="BN527" s="4"/>
      <c r="BO527" s="4"/>
      <c r="BP527" s="4"/>
      <c r="BQ527" s="4"/>
      <c r="BR527" s="4"/>
      <c r="BS527" s="4"/>
      <c r="BT527" s="4"/>
      <c r="BU527" s="4"/>
      <c r="BV527" s="4"/>
    </row>
    <row r="528" spans="29:74" ht="13.2"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4"/>
      <c r="BC528" s="4"/>
      <c r="BD528" s="4"/>
      <c r="BE528" s="4"/>
      <c r="BF528" s="4"/>
      <c r="BG528" s="4"/>
      <c r="BH528" s="4"/>
      <c r="BI528" s="4"/>
      <c r="BJ528" s="4"/>
      <c r="BK528" s="4"/>
      <c r="BL528" s="4"/>
      <c r="BM528" s="4"/>
      <c r="BN528" s="4"/>
      <c r="BO528" s="4"/>
      <c r="BP528" s="4"/>
      <c r="BQ528" s="4"/>
      <c r="BR528" s="4"/>
      <c r="BS528" s="4"/>
      <c r="BT528" s="4"/>
      <c r="BU528" s="4"/>
      <c r="BV528" s="4"/>
    </row>
    <row r="529" spans="29:74" ht="13.2"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  <c r="BC529" s="4"/>
      <c r="BD529" s="4"/>
      <c r="BE529" s="4"/>
      <c r="BF529" s="4"/>
      <c r="BG529" s="4"/>
      <c r="BH529" s="4"/>
      <c r="BI529" s="4"/>
      <c r="BJ529" s="4"/>
      <c r="BK529" s="4"/>
      <c r="BL529" s="4"/>
      <c r="BM529" s="4"/>
      <c r="BN529" s="4"/>
      <c r="BO529" s="4"/>
      <c r="BP529" s="4"/>
      <c r="BQ529" s="4"/>
      <c r="BR529" s="4"/>
      <c r="BS529" s="4"/>
      <c r="BT529" s="4"/>
      <c r="BU529" s="4"/>
      <c r="BV529" s="4"/>
    </row>
    <row r="530" spans="29:74" ht="13.2"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  <c r="BC530" s="4"/>
      <c r="BD530" s="4"/>
      <c r="BE530" s="4"/>
      <c r="BF530" s="4"/>
      <c r="BG530" s="4"/>
      <c r="BH530" s="4"/>
      <c r="BI530" s="4"/>
      <c r="BJ530" s="4"/>
      <c r="BK530" s="4"/>
      <c r="BL530" s="4"/>
      <c r="BM530" s="4"/>
      <c r="BN530" s="4"/>
      <c r="BO530" s="4"/>
      <c r="BP530" s="4"/>
      <c r="BQ530" s="4"/>
      <c r="BR530" s="4"/>
      <c r="BS530" s="4"/>
      <c r="BT530" s="4"/>
      <c r="BU530" s="4"/>
      <c r="BV530" s="4"/>
    </row>
    <row r="531" spans="29:74" ht="13.2"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  <c r="BC531" s="4"/>
      <c r="BD531" s="4"/>
      <c r="BE531" s="4"/>
      <c r="BF531" s="4"/>
      <c r="BG531" s="4"/>
      <c r="BH531" s="4"/>
      <c r="BI531" s="4"/>
      <c r="BJ531" s="4"/>
      <c r="BK531" s="4"/>
      <c r="BL531" s="4"/>
      <c r="BM531" s="4"/>
      <c r="BN531" s="4"/>
      <c r="BO531" s="4"/>
      <c r="BP531" s="4"/>
      <c r="BQ531" s="4"/>
      <c r="BR531" s="4"/>
      <c r="BS531" s="4"/>
      <c r="BT531" s="4"/>
      <c r="BU531" s="4"/>
      <c r="BV531" s="4"/>
    </row>
    <row r="532" spans="29:74" ht="13.2"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  <c r="BC532" s="4"/>
      <c r="BD532" s="4"/>
      <c r="BE532" s="4"/>
      <c r="BF532" s="4"/>
      <c r="BG532" s="4"/>
      <c r="BH532" s="4"/>
      <c r="BI532" s="4"/>
      <c r="BJ532" s="4"/>
      <c r="BK532" s="4"/>
      <c r="BL532" s="4"/>
      <c r="BM532" s="4"/>
      <c r="BN532" s="4"/>
      <c r="BO532" s="4"/>
      <c r="BP532" s="4"/>
      <c r="BQ532" s="4"/>
      <c r="BR532" s="4"/>
      <c r="BS532" s="4"/>
      <c r="BT532" s="4"/>
      <c r="BU532" s="4"/>
      <c r="BV532" s="4"/>
    </row>
    <row r="533" spans="29:74" ht="13.2"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  <c r="BC533" s="4"/>
      <c r="BD533" s="4"/>
      <c r="BE533" s="4"/>
      <c r="BF533" s="4"/>
      <c r="BG533" s="4"/>
      <c r="BH533" s="4"/>
      <c r="BI533" s="4"/>
      <c r="BJ533" s="4"/>
      <c r="BK533" s="4"/>
      <c r="BL533" s="4"/>
      <c r="BM533" s="4"/>
      <c r="BN533" s="4"/>
      <c r="BO533" s="4"/>
      <c r="BP533" s="4"/>
      <c r="BQ533" s="4"/>
      <c r="BR533" s="4"/>
      <c r="BS533" s="4"/>
      <c r="BT533" s="4"/>
      <c r="BU533" s="4"/>
      <c r="BV533" s="4"/>
    </row>
    <row r="534" spans="29:74" ht="13.2"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  <c r="BC534" s="4"/>
      <c r="BD534" s="4"/>
      <c r="BE534" s="4"/>
      <c r="BF534" s="4"/>
      <c r="BG534" s="4"/>
      <c r="BH534" s="4"/>
      <c r="BI534" s="4"/>
      <c r="BJ534" s="4"/>
      <c r="BK534" s="4"/>
      <c r="BL534" s="4"/>
      <c r="BM534" s="4"/>
      <c r="BN534" s="4"/>
      <c r="BO534" s="4"/>
      <c r="BP534" s="4"/>
      <c r="BQ534" s="4"/>
      <c r="BR534" s="4"/>
      <c r="BS534" s="4"/>
      <c r="BT534" s="4"/>
      <c r="BU534" s="4"/>
      <c r="BV534" s="4"/>
    </row>
    <row r="535" spans="29:74" ht="13.2"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  <c r="BC535" s="4"/>
      <c r="BD535" s="4"/>
      <c r="BE535" s="4"/>
      <c r="BF535" s="4"/>
      <c r="BG535" s="4"/>
      <c r="BH535" s="4"/>
      <c r="BI535" s="4"/>
      <c r="BJ535" s="4"/>
      <c r="BK535" s="4"/>
      <c r="BL535" s="4"/>
      <c r="BM535" s="4"/>
      <c r="BN535" s="4"/>
      <c r="BO535" s="4"/>
      <c r="BP535" s="4"/>
      <c r="BQ535" s="4"/>
      <c r="BR535" s="4"/>
      <c r="BS535" s="4"/>
      <c r="BT535" s="4"/>
      <c r="BU535" s="4"/>
      <c r="BV535" s="4"/>
    </row>
    <row r="536" spans="29:74" ht="13.2"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  <c r="BC536" s="4"/>
      <c r="BD536" s="4"/>
      <c r="BE536" s="4"/>
      <c r="BF536" s="4"/>
      <c r="BG536" s="4"/>
      <c r="BH536" s="4"/>
      <c r="BI536" s="4"/>
      <c r="BJ536" s="4"/>
      <c r="BK536" s="4"/>
      <c r="BL536" s="4"/>
      <c r="BM536" s="4"/>
      <c r="BN536" s="4"/>
      <c r="BO536" s="4"/>
      <c r="BP536" s="4"/>
      <c r="BQ536" s="4"/>
      <c r="BR536" s="4"/>
      <c r="BS536" s="4"/>
      <c r="BT536" s="4"/>
      <c r="BU536" s="4"/>
      <c r="BV536" s="4"/>
    </row>
    <row r="537" spans="29:74" ht="13.2"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4"/>
      <c r="BC537" s="4"/>
      <c r="BD537" s="4"/>
      <c r="BE537" s="4"/>
      <c r="BF537" s="4"/>
      <c r="BG537" s="4"/>
      <c r="BH537" s="4"/>
      <c r="BI537" s="4"/>
      <c r="BJ537" s="4"/>
      <c r="BK537" s="4"/>
      <c r="BL537" s="4"/>
      <c r="BM537" s="4"/>
      <c r="BN537" s="4"/>
      <c r="BO537" s="4"/>
      <c r="BP537" s="4"/>
      <c r="BQ537" s="4"/>
      <c r="BR537" s="4"/>
      <c r="BS537" s="4"/>
      <c r="BT537" s="4"/>
      <c r="BU537" s="4"/>
      <c r="BV537" s="4"/>
    </row>
    <row r="538" spans="29:74" ht="13.2"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  <c r="BC538" s="4"/>
      <c r="BD538" s="4"/>
      <c r="BE538" s="4"/>
      <c r="BF538" s="4"/>
      <c r="BG538" s="4"/>
      <c r="BH538" s="4"/>
      <c r="BI538" s="4"/>
      <c r="BJ538" s="4"/>
      <c r="BK538" s="4"/>
      <c r="BL538" s="4"/>
      <c r="BM538" s="4"/>
      <c r="BN538" s="4"/>
      <c r="BO538" s="4"/>
      <c r="BP538" s="4"/>
      <c r="BQ538" s="4"/>
      <c r="BR538" s="4"/>
      <c r="BS538" s="4"/>
      <c r="BT538" s="4"/>
      <c r="BU538" s="4"/>
      <c r="BV538" s="4"/>
    </row>
    <row r="539" spans="29:74" ht="13.2"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  <c r="BK539" s="4"/>
      <c r="BL539" s="4"/>
      <c r="BM539" s="4"/>
      <c r="BN539" s="4"/>
      <c r="BO539" s="4"/>
      <c r="BP539" s="4"/>
      <c r="BQ539" s="4"/>
      <c r="BR539" s="4"/>
      <c r="BS539" s="4"/>
      <c r="BT539" s="4"/>
      <c r="BU539" s="4"/>
      <c r="BV539" s="4"/>
    </row>
    <row r="540" spans="29:74" ht="13.2"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  <c r="BC540" s="4"/>
      <c r="BD540" s="4"/>
      <c r="BE540" s="4"/>
      <c r="BF540" s="4"/>
      <c r="BG540" s="4"/>
      <c r="BH540" s="4"/>
      <c r="BI540" s="4"/>
      <c r="BJ540" s="4"/>
      <c r="BK540" s="4"/>
      <c r="BL540" s="4"/>
      <c r="BM540" s="4"/>
      <c r="BN540" s="4"/>
      <c r="BO540" s="4"/>
      <c r="BP540" s="4"/>
      <c r="BQ540" s="4"/>
      <c r="BR540" s="4"/>
      <c r="BS540" s="4"/>
      <c r="BT540" s="4"/>
      <c r="BU540" s="4"/>
      <c r="BV540" s="4"/>
    </row>
    <row r="541" spans="29:74" ht="13.2"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  <c r="BC541" s="4"/>
      <c r="BD541" s="4"/>
      <c r="BE541" s="4"/>
      <c r="BF541" s="4"/>
      <c r="BG541" s="4"/>
      <c r="BH541" s="4"/>
      <c r="BI541" s="4"/>
      <c r="BJ541" s="4"/>
      <c r="BK541" s="4"/>
      <c r="BL541" s="4"/>
      <c r="BM541" s="4"/>
      <c r="BN541" s="4"/>
      <c r="BO541" s="4"/>
      <c r="BP541" s="4"/>
      <c r="BQ541" s="4"/>
      <c r="BR541" s="4"/>
      <c r="BS541" s="4"/>
      <c r="BT541" s="4"/>
      <c r="BU541" s="4"/>
      <c r="BV541" s="4"/>
    </row>
    <row r="542" spans="29:74" ht="13.2"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4"/>
      <c r="BC542" s="4"/>
      <c r="BD542" s="4"/>
      <c r="BE542" s="4"/>
      <c r="BF542" s="4"/>
      <c r="BG542" s="4"/>
      <c r="BH542" s="4"/>
      <c r="BI542" s="4"/>
      <c r="BJ542" s="4"/>
      <c r="BK542" s="4"/>
      <c r="BL542" s="4"/>
      <c r="BM542" s="4"/>
      <c r="BN542" s="4"/>
      <c r="BO542" s="4"/>
      <c r="BP542" s="4"/>
      <c r="BQ542" s="4"/>
      <c r="BR542" s="4"/>
      <c r="BS542" s="4"/>
      <c r="BT542" s="4"/>
      <c r="BU542" s="4"/>
      <c r="BV542" s="4"/>
    </row>
    <row r="543" spans="29:74" ht="13.2"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  <c r="BC543" s="4"/>
      <c r="BD543" s="4"/>
      <c r="BE543" s="4"/>
      <c r="BF543" s="4"/>
      <c r="BG543" s="4"/>
      <c r="BH543" s="4"/>
      <c r="BI543" s="4"/>
      <c r="BJ543" s="4"/>
      <c r="BK543" s="4"/>
      <c r="BL543" s="4"/>
      <c r="BM543" s="4"/>
      <c r="BN543" s="4"/>
      <c r="BO543" s="4"/>
      <c r="BP543" s="4"/>
      <c r="BQ543" s="4"/>
      <c r="BR543" s="4"/>
      <c r="BS543" s="4"/>
      <c r="BT543" s="4"/>
      <c r="BU543" s="4"/>
      <c r="BV543" s="4"/>
    </row>
    <row r="544" spans="29:74" ht="13.2"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  <c r="BC544" s="4"/>
      <c r="BD544" s="4"/>
      <c r="BE544" s="4"/>
      <c r="BF544" s="4"/>
      <c r="BG544" s="4"/>
      <c r="BH544" s="4"/>
      <c r="BI544" s="4"/>
      <c r="BJ544" s="4"/>
      <c r="BK544" s="4"/>
      <c r="BL544" s="4"/>
      <c r="BM544" s="4"/>
      <c r="BN544" s="4"/>
      <c r="BO544" s="4"/>
      <c r="BP544" s="4"/>
      <c r="BQ544" s="4"/>
      <c r="BR544" s="4"/>
      <c r="BS544" s="4"/>
      <c r="BT544" s="4"/>
      <c r="BU544" s="4"/>
      <c r="BV544" s="4"/>
    </row>
    <row r="545" spans="29:74" ht="13.2"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4"/>
      <c r="BC545" s="4"/>
      <c r="BD545" s="4"/>
      <c r="BE545" s="4"/>
      <c r="BF545" s="4"/>
      <c r="BG545" s="4"/>
      <c r="BH545" s="4"/>
      <c r="BI545" s="4"/>
      <c r="BJ545" s="4"/>
      <c r="BK545" s="4"/>
      <c r="BL545" s="4"/>
      <c r="BM545" s="4"/>
      <c r="BN545" s="4"/>
      <c r="BO545" s="4"/>
      <c r="BP545" s="4"/>
      <c r="BQ545" s="4"/>
      <c r="BR545" s="4"/>
      <c r="BS545" s="4"/>
      <c r="BT545" s="4"/>
      <c r="BU545" s="4"/>
      <c r="BV545" s="4"/>
    </row>
    <row r="546" spans="29:74" ht="13.2"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  <c r="BC546" s="4"/>
      <c r="BD546" s="4"/>
      <c r="BE546" s="4"/>
      <c r="BF546" s="4"/>
      <c r="BG546" s="4"/>
      <c r="BH546" s="4"/>
      <c r="BI546" s="4"/>
      <c r="BJ546" s="4"/>
      <c r="BK546" s="4"/>
      <c r="BL546" s="4"/>
      <c r="BM546" s="4"/>
      <c r="BN546" s="4"/>
      <c r="BO546" s="4"/>
      <c r="BP546" s="4"/>
      <c r="BQ546" s="4"/>
      <c r="BR546" s="4"/>
      <c r="BS546" s="4"/>
      <c r="BT546" s="4"/>
      <c r="BU546" s="4"/>
      <c r="BV546" s="4"/>
    </row>
    <row r="547" spans="29:74" ht="13.2"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  <c r="BC547" s="4"/>
      <c r="BD547" s="4"/>
      <c r="BE547" s="4"/>
      <c r="BF547" s="4"/>
      <c r="BG547" s="4"/>
      <c r="BH547" s="4"/>
      <c r="BI547" s="4"/>
      <c r="BJ547" s="4"/>
      <c r="BK547" s="4"/>
      <c r="BL547" s="4"/>
      <c r="BM547" s="4"/>
      <c r="BN547" s="4"/>
      <c r="BO547" s="4"/>
      <c r="BP547" s="4"/>
      <c r="BQ547" s="4"/>
      <c r="BR547" s="4"/>
      <c r="BS547" s="4"/>
      <c r="BT547" s="4"/>
      <c r="BU547" s="4"/>
      <c r="BV547" s="4"/>
    </row>
    <row r="548" spans="29:74" ht="13.2"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  <c r="BC548" s="4"/>
      <c r="BD548" s="4"/>
      <c r="BE548" s="4"/>
      <c r="BF548" s="4"/>
      <c r="BG548" s="4"/>
      <c r="BH548" s="4"/>
      <c r="BI548" s="4"/>
      <c r="BJ548" s="4"/>
      <c r="BK548" s="4"/>
      <c r="BL548" s="4"/>
      <c r="BM548" s="4"/>
      <c r="BN548" s="4"/>
      <c r="BO548" s="4"/>
      <c r="BP548" s="4"/>
      <c r="BQ548" s="4"/>
      <c r="BR548" s="4"/>
      <c r="BS548" s="4"/>
      <c r="BT548" s="4"/>
      <c r="BU548" s="4"/>
      <c r="BV548" s="4"/>
    </row>
    <row r="549" spans="29:74" ht="13.2"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  <c r="BC549" s="4"/>
      <c r="BD549" s="4"/>
      <c r="BE549" s="4"/>
      <c r="BF549" s="4"/>
      <c r="BG549" s="4"/>
      <c r="BH549" s="4"/>
      <c r="BI549" s="4"/>
      <c r="BJ549" s="4"/>
      <c r="BK549" s="4"/>
      <c r="BL549" s="4"/>
      <c r="BM549" s="4"/>
      <c r="BN549" s="4"/>
      <c r="BO549" s="4"/>
      <c r="BP549" s="4"/>
      <c r="BQ549" s="4"/>
      <c r="BR549" s="4"/>
      <c r="BS549" s="4"/>
      <c r="BT549" s="4"/>
      <c r="BU549" s="4"/>
      <c r="BV549" s="4"/>
    </row>
    <row r="550" spans="29:74" ht="13.2"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  <c r="BC550" s="4"/>
      <c r="BD550" s="4"/>
      <c r="BE550" s="4"/>
      <c r="BF550" s="4"/>
      <c r="BG550" s="4"/>
      <c r="BH550" s="4"/>
      <c r="BI550" s="4"/>
      <c r="BJ550" s="4"/>
      <c r="BK550" s="4"/>
      <c r="BL550" s="4"/>
      <c r="BM550" s="4"/>
      <c r="BN550" s="4"/>
      <c r="BO550" s="4"/>
      <c r="BP550" s="4"/>
      <c r="BQ550" s="4"/>
      <c r="BR550" s="4"/>
      <c r="BS550" s="4"/>
      <c r="BT550" s="4"/>
      <c r="BU550" s="4"/>
      <c r="BV550" s="4"/>
    </row>
    <row r="551" spans="29:74" ht="13.2"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  <c r="BC551" s="4"/>
      <c r="BD551" s="4"/>
      <c r="BE551" s="4"/>
      <c r="BF551" s="4"/>
      <c r="BG551" s="4"/>
      <c r="BH551" s="4"/>
      <c r="BI551" s="4"/>
      <c r="BJ551" s="4"/>
      <c r="BK551" s="4"/>
      <c r="BL551" s="4"/>
      <c r="BM551" s="4"/>
      <c r="BN551" s="4"/>
      <c r="BO551" s="4"/>
      <c r="BP551" s="4"/>
      <c r="BQ551" s="4"/>
      <c r="BR551" s="4"/>
      <c r="BS551" s="4"/>
      <c r="BT551" s="4"/>
      <c r="BU551" s="4"/>
      <c r="BV551" s="4"/>
    </row>
    <row r="552" spans="29:74" ht="13.2"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  <c r="BC552" s="4"/>
      <c r="BD552" s="4"/>
      <c r="BE552" s="4"/>
      <c r="BF552" s="4"/>
      <c r="BG552" s="4"/>
      <c r="BH552" s="4"/>
      <c r="BI552" s="4"/>
      <c r="BJ552" s="4"/>
      <c r="BK552" s="4"/>
      <c r="BL552" s="4"/>
      <c r="BM552" s="4"/>
      <c r="BN552" s="4"/>
      <c r="BO552" s="4"/>
      <c r="BP552" s="4"/>
      <c r="BQ552" s="4"/>
      <c r="BR552" s="4"/>
      <c r="BS552" s="4"/>
      <c r="BT552" s="4"/>
      <c r="BU552" s="4"/>
      <c r="BV552" s="4"/>
    </row>
    <row r="553" spans="29:74" ht="13.2"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  <c r="BC553" s="4"/>
      <c r="BD553" s="4"/>
      <c r="BE553" s="4"/>
      <c r="BF553" s="4"/>
      <c r="BG553" s="4"/>
      <c r="BH553" s="4"/>
      <c r="BI553" s="4"/>
      <c r="BJ553" s="4"/>
      <c r="BK553" s="4"/>
      <c r="BL553" s="4"/>
      <c r="BM553" s="4"/>
      <c r="BN553" s="4"/>
      <c r="BO553" s="4"/>
      <c r="BP553" s="4"/>
      <c r="BQ553" s="4"/>
      <c r="BR553" s="4"/>
      <c r="BS553" s="4"/>
      <c r="BT553" s="4"/>
      <c r="BU553" s="4"/>
      <c r="BV553" s="4"/>
    </row>
    <row r="554" spans="29:74" ht="13.2"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4"/>
      <c r="BC554" s="4"/>
      <c r="BD554" s="4"/>
      <c r="BE554" s="4"/>
      <c r="BF554" s="4"/>
      <c r="BG554" s="4"/>
      <c r="BH554" s="4"/>
      <c r="BI554" s="4"/>
      <c r="BJ554" s="4"/>
      <c r="BK554" s="4"/>
      <c r="BL554" s="4"/>
      <c r="BM554" s="4"/>
      <c r="BN554" s="4"/>
      <c r="BO554" s="4"/>
      <c r="BP554" s="4"/>
      <c r="BQ554" s="4"/>
      <c r="BR554" s="4"/>
      <c r="BS554" s="4"/>
      <c r="BT554" s="4"/>
      <c r="BU554" s="4"/>
      <c r="BV554" s="4"/>
    </row>
    <row r="555" spans="29:74" ht="13.2"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4"/>
      <c r="BC555" s="4"/>
      <c r="BD555" s="4"/>
      <c r="BE555" s="4"/>
      <c r="BF555" s="4"/>
      <c r="BG555" s="4"/>
      <c r="BH555" s="4"/>
      <c r="BI555" s="4"/>
      <c r="BJ555" s="4"/>
      <c r="BK555" s="4"/>
      <c r="BL555" s="4"/>
      <c r="BM555" s="4"/>
      <c r="BN555" s="4"/>
      <c r="BO555" s="4"/>
      <c r="BP555" s="4"/>
      <c r="BQ555" s="4"/>
      <c r="BR555" s="4"/>
      <c r="BS555" s="4"/>
      <c r="BT555" s="4"/>
      <c r="BU555" s="4"/>
      <c r="BV555" s="4"/>
    </row>
    <row r="556" spans="29:74" ht="13.2"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4"/>
      <c r="BC556" s="4"/>
      <c r="BD556" s="4"/>
      <c r="BE556" s="4"/>
      <c r="BF556" s="4"/>
      <c r="BG556" s="4"/>
      <c r="BH556" s="4"/>
      <c r="BI556" s="4"/>
      <c r="BJ556" s="4"/>
      <c r="BK556" s="4"/>
      <c r="BL556" s="4"/>
      <c r="BM556" s="4"/>
      <c r="BN556" s="4"/>
      <c r="BO556" s="4"/>
      <c r="BP556" s="4"/>
      <c r="BQ556" s="4"/>
      <c r="BR556" s="4"/>
      <c r="BS556" s="4"/>
      <c r="BT556" s="4"/>
      <c r="BU556" s="4"/>
      <c r="BV556" s="4"/>
    </row>
    <row r="557" spans="29:74" ht="13.2"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  <c r="BC557" s="4"/>
      <c r="BD557" s="4"/>
      <c r="BE557" s="4"/>
      <c r="BF557" s="4"/>
      <c r="BG557" s="4"/>
      <c r="BH557" s="4"/>
      <c r="BI557" s="4"/>
      <c r="BJ557" s="4"/>
      <c r="BK557" s="4"/>
      <c r="BL557" s="4"/>
      <c r="BM557" s="4"/>
      <c r="BN557" s="4"/>
      <c r="BO557" s="4"/>
      <c r="BP557" s="4"/>
      <c r="BQ557" s="4"/>
      <c r="BR557" s="4"/>
      <c r="BS557" s="4"/>
      <c r="BT557" s="4"/>
      <c r="BU557" s="4"/>
      <c r="BV557" s="4"/>
    </row>
    <row r="558" spans="29:74" ht="13.2"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  <c r="BC558" s="4"/>
      <c r="BD558" s="4"/>
      <c r="BE558" s="4"/>
      <c r="BF558" s="4"/>
      <c r="BG558" s="4"/>
      <c r="BH558" s="4"/>
      <c r="BI558" s="4"/>
      <c r="BJ558" s="4"/>
      <c r="BK558" s="4"/>
      <c r="BL558" s="4"/>
      <c r="BM558" s="4"/>
      <c r="BN558" s="4"/>
      <c r="BO558" s="4"/>
      <c r="BP558" s="4"/>
      <c r="BQ558" s="4"/>
      <c r="BR558" s="4"/>
      <c r="BS558" s="4"/>
      <c r="BT558" s="4"/>
      <c r="BU558" s="4"/>
      <c r="BV558" s="4"/>
    </row>
    <row r="559" spans="29:74" ht="13.2"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  <c r="BC559" s="4"/>
      <c r="BD559" s="4"/>
      <c r="BE559" s="4"/>
      <c r="BF559" s="4"/>
      <c r="BG559" s="4"/>
      <c r="BH559" s="4"/>
      <c r="BI559" s="4"/>
      <c r="BJ559" s="4"/>
      <c r="BK559" s="4"/>
      <c r="BL559" s="4"/>
      <c r="BM559" s="4"/>
      <c r="BN559" s="4"/>
      <c r="BO559" s="4"/>
      <c r="BP559" s="4"/>
      <c r="BQ559" s="4"/>
      <c r="BR559" s="4"/>
      <c r="BS559" s="4"/>
      <c r="BT559" s="4"/>
      <c r="BU559" s="4"/>
      <c r="BV559" s="4"/>
    </row>
    <row r="560" spans="29:74" ht="13.2"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  <c r="BC560" s="4"/>
      <c r="BD560" s="4"/>
      <c r="BE560" s="4"/>
      <c r="BF560" s="4"/>
      <c r="BG560" s="4"/>
      <c r="BH560" s="4"/>
      <c r="BI560" s="4"/>
      <c r="BJ560" s="4"/>
      <c r="BK560" s="4"/>
      <c r="BL560" s="4"/>
      <c r="BM560" s="4"/>
      <c r="BN560" s="4"/>
      <c r="BO560" s="4"/>
      <c r="BP560" s="4"/>
      <c r="BQ560" s="4"/>
      <c r="BR560" s="4"/>
      <c r="BS560" s="4"/>
      <c r="BT560" s="4"/>
      <c r="BU560" s="4"/>
      <c r="BV560" s="4"/>
    </row>
    <row r="561" spans="29:74" ht="13.2"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  <c r="BC561" s="4"/>
      <c r="BD561" s="4"/>
      <c r="BE561" s="4"/>
      <c r="BF561" s="4"/>
      <c r="BG561" s="4"/>
      <c r="BH561" s="4"/>
      <c r="BI561" s="4"/>
      <c r="BJ561" s="4"/>
      <c r="BK561" s="4"/>
      <c r="BL561" s="4"/>
      <c r="BM561" s="4"/>
      <c r="BN561" s="4"/>
      <c r="BO561" s="4"/>
      <c r="BP561" s="4"/>
      <c r="BQ561" s="4"/>
      <c r="BR561" s="4"/>
      <c r="BS561" s="4"/>
      <c r="BT561" s="4"/>
      <c r="BU561" s="4"/>
      <c r="BV561" s="4"/>
    </row>
    <row r="562" spans="29:74" ht="13.2"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  <c r="BC562" s="4"/>
      <c r="BD562" s="4"/>
      <c r="BE562" s="4"/>
      <c r="BF562" s="4"/>
      <c r="BG562" s="4"/>
      <c r="BH562" s="4"/>
      <c r="BI562" s="4"/>
      <c r="BJ562" s="4"/>
      <c r="BK562" s="4"/>
      <c r="BL562" s="4"/>
      <c r="BM562" s="4"/>
      <c r="BN562" s="4"/>
      <c r="BO562" s="4"/>
      <c r="BP562" s="4"/>
      <c r="BQ562" s="4"/>
      <c r="BR562" s="4"/>
      <c r="BS562" s="4"/>
      <c r="BT562" s="4"/>
      <c r="BU562" s="4"/>
      <c r="BV562" s="4"/>
    </row>
    <row r="563" spans="29:74" ht="13.2"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  <c r="BC563" s="4"/>
      <c r="BD563" s="4"/>
      <c r="BE563" s="4"/>
      <c r="BF563" s="4"/>
      <c r="BG563" s="4"/>
      <c r="BH563" s="4"/>
      <c r="BI563" s="4"/>
      <c r="BJ563" s="4"/>
      <c r="BK563" s="4"/>
      <c r="BL563" s="4"/>
      <c r="BM563" s="4"/>
      <c r="BN563" s="4"/>
      <c r="BO563" s="4"/>
      <c r="BP563" s="4"/>
      <c r="BQ563" s="4"/>
      <c r="BR563" s="4"/>
      <c r="BS563" s="4"/>
      <c r="BT563" s="4"/>
      <c r="BU563" s="4"/>
      <c r="BV563" s="4"/>
    </row>
    <row r="564" spans="29:74" ht="13.2"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4"/>
      <c r="BC564" s="4"/>
      <c r="BD564" s="4"/>
      <c r="BE564" s="4"/>
      <c r="BF564" s="4"/>
      <c r="BG564" s="4"/>
      <c r="BH564" s="4"/>
      <c r="BI564" s="4"/>
      <c r="BJ564" s="4"/>
      <c r="BK564" s="4"/>
      <c r="BL564" s="4"/>
      <c r="BM564" s="4"/>
      <c r="BN564" s="4"/>
      <c r="BO564" s="4"/>
      <c r="BP564" s="4"/>
      <c r="BQ564" s="4"/>
      <c r="BR564" s="4"/>
      <c r="BS564" s="4"/>
      <c r="BT564" s="4"/>
      <c r="BU564" s="4"/>
      <c r="BV564" s="4"/>
    </row>
    <row r="565" spans="29:74" ht="13.2"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  <c r="BC565" s="4"/>
      <c r="BD565" s="4"/>
      <c r="BE565" s="4"/>
      <c r="BF565" s="4"/>
      <c r="BG565" s="4"/>
      <c r="BH565" s="4"/>
      <c r="BI565" s="4"/>
      <c r="BJ565" s="4"/>
      <c r="BK565" s="4"/>
      <c r="BL565" s="4"/>
      <c r="BM565" s="4"/>
      <c r="BN565" s="4"/>
      <c r="BO565" s="4"/>
      <c r="BP565" s="4"/>
      <c r="BQ565" s="4"/>
      <c r="BR565" s="4"/>
      <c r="BS565" s="4"/>
      <c r="BT565" s="4"/>
      <c r="BU565" s="4"/>
      <c r="BV565" s="4"/>
    </row>
    <row r="566" spans="29:74" ht="13.2"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  <c r="BC566" s="4"/>
      <c r="BD566" s="4"/>
      <c r="BE566" s="4"/>
      <c r="BF566" s="4"/>
      <c r="BG566" s="4"/>
      <c r="BH566" s="4"/>
      <c r="BI566" s="4"/>
      <c r="BJ566" s="4"/>
      <c r="BK566" s="4"/>
      <c r="BL566" s="4"/>
      <c r="BM566" s="4"/>
      <c r="BN566" s="4"/>
      <c r="BO566" s="4"/>
      <c r="BP566" s="4"/>
      <c r="BQ566" s="4"/>
      <c r="BR566" s="4"/>
      <c r="BS566" s="4"/>
      <c r="BT566" s="4"/>
      <c r="BU566" s="4"/>
      <c r="BV566" s="4"/>
    </row>
    <row r="567" spans="29:74" ht="13.2"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  <c r="BC567" s="4"/>
      <c r="BD567" s="4"/>
      <c r="BE567" s="4"/>
      <c r="BF567" s="4"/>
      <c r="BG567" s="4"/>
      <c r="BH567" s="4"/>
      <c r="BI567" s="4"/>
      <c r="BJ567" s="4"/>
      <c r="BK567" s="4"/>
      <c r="BL567" s="4"/>
      <c r="BM567" s="4"/>
      <c r="BN567" s="4"/>
      <c r="BO567" s="4"/>
      <c r="BP567" s="4"/>
      <c r="BQ567" s="4"/>
      <c r="BR567" s="4"/>
      <c r="BS567" s="4"/>
      <c r="BT567" s="4"/>
      <c r="BU567" s="4"/>
      <c r="BV567" s="4"/>
    </row>
    <row r="568" spans="29:74" ht="13.2"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  <c r="BC568" s="4"/>
      <c r="BD568" s="4"/>
      <c r="BE568" s="4"/>
      <c r="BF568" s="4"/>
      <c r="BG568" s="4"/>
      <c r="BH568" s="4"/>
      <c r="BI568" s="4"/>
      <c r="BJ568" s="4"/>
      <c r="BK568" s="4"/>
      <c r="BL568" s="4"/>
      <c r="BM568" s="4"/>
      <c r="BN568" s="4"/>
      <c r="BO568" s="4"/>
      <c r="BP568" s="4"/>
      <c r="BQ568" s="4"/>
      <c r="BR568" s="4"/>
      <c r="BS568" s="4"/>
      <c r="BT568" s="4"/>
      <c r="BU568" s="4"/>
      <c r="BV568" s="4"/>
    </row>
    <row r="569" spans="29:74" ht="13.2"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  <c r="BC569" s="4"/>
      <c r="BD569" s="4"/>
      <c r="BE569" s="4"/>
      <c r="BF569" s="4"/>
      <c r="BG569" s="4"/>
      <c r="BH569" s="4"/>
      <c r="BI569" s="4"/>
      <c r="BJ569" s="4"/>
      <c r="BK569" s="4"/>
      <c r="BL569" s="4"/>
      <c r="BM569" s="4"/>
      <c r="BN569" s="4"/>
      <c r="BO569" s="4"/>
      <c r="BP569" s="4"/>
      <c r="BQ569" s="4"/>
      <c r="BR569" s="4"/>
      <c r="BS569" s="4"/>
      <c r="BT569" s="4"/>
      <c r="BU569" s="4"/>
      <c r="BV569" s="4"/>
    </row>
    <row r="570" spans="29:74" ht="13.2"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  <c r="BC570" s="4"/>
      <c r="BD570" s="4"/>
      <c r="BE570" s="4"/>
      <c r="BF570" s="4"/>
      <c r="BG570" s="4"/>
      <c r="BH570" s="4"/>
      <c r="BI570" s="4"/>
      <c r="BJ570" s="4"/>
      <c r="BK570" s="4"/>
      <c r="BL570" s="4"/>
      <c r="BM570" s="4"/>
      <c r="BN570" s="4"/>
      <c r="BO570" s="4"/>
      <c r="BP570" s="4"/>
      <c r="BQ570" s="4"/>
      <c r="BR570" s="4"/>
      <c r="BS570" s="4"/>
      <c r="BT570" s="4"/>
      <c r="BU570" s="4"/>
      <c r="BV570" s="4"/>
    </row>
    <row r="571" spans="29:74" ht="13.2"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4"/>
      <c r="BC571" s="4"/>
      <c r="BD571" s="4"/>
      <c r="BE571" s="4"/>
      <c r="BF571" s="4"/>
      <c r="BG571" s="4"/>
      <c r="BH571" s="4"/>
      <c r="BI571" s="4"/>
      <c r="BJ571" s="4"/>
      <c r="BK571" s="4"/>
      <c r="BL571" s="4"/>
      <c r="BM571" s="4"/>
      <c r="BN571" s="4"/>
      <c r="BO571" s="4"/>
      <c r="BP571" s="4"/>
      <c r="BQ571" s="4"/>
      <c r="BR571" s="4"/>
      <c r="BS571" s="4"/>
      <c r="BT571" s="4"/>
      <c r="BU571" s="4"/>
      <c r="BV571" s="4"/>
    </row>
    <row r="572" spans="29:74" ht="13.2"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4"/>
      <c r="BC572" s="4"/>
      <c r="BD572" s="4"/>
      <c r="BE572" s="4"/>
      <c r="BF572" s="4"/>
      <c r="BG572" s="4"/>
      <c r="BH572" s="4"/>
      <c r="BI572" s="4"/>
      <c r="BJ572" s="4"/>
      <c r="BK572" s="4"/>
      <c r="BL572" s="4"/>
      <c r="BM572" s="4"/>
      <c r="BN572" s="4"/>
      <c r="BO572" s="4"/>
      <c r="BP572" s="4"/>
      <c r="BQ572" s="4"/>
      <c r="BR572" s="4"/>
      <c r="BS572" s="4"/>
      <c r="BT572" s="4"/>
      <c r="BU572" s="4"/>
      <c r="BV572" s="4"/>
    </row>
    <row r="573" spans="29:74" ht="13.2"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4"/>
      <c r="BC573" s="4"/>
      <c r="BD573" s="4"/>
      <c r="BE573" s="4"/>
      <c r="BF573" s="4"/>
      <c r="BG573" s="4"/>
      <c r="BH573" s="4"/>
      <c r="BI573" s="4"/>
      <c r="BJ573" s="4"/>
      <c r="BK573" s="4"/>
      <c r="BL573" s="4"/>
      <c r="BM573" s="4"/>
      <c r="BN573" s="4"/>
      <c r="BO573" s="4"/>
      <c r="BP573" s="4"/>
      <c r="BQ573" s="4"/>
      <c r="BR573" s="4"/>
      <c r="BS573" s="4"/>
      <c r="BT573" s="4"/>
      <c r="BU573" s="4"/>
      <c r="BV573" s="4"/>
    </row>
    <row r="574" spans="29:74" ht="13.2"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  <c r="BC574" s="4"/>
      <c r="BD574" s="4"/>
      <c r="BE574" s="4"/>
      <c r="BF574" s="4"/>
      <c r="BG574" s="4"/>
      <c r="BH574" s="4"/>
      <c r="BI574" s="4"/>
      <c r="BJ574" s="4"/>
      <c r="BK574" s="4"/>
      <c r="BL574" s="4"/>
      <c r="BM574" s="4"/>
      <c r="BN574" s="4"/>
      <c r="BO574" s="4"/>
      <c r="BP574" s="4"/>
      <c r="BQ574" s="4"/>
      <c r="BR574" s="4"/>
      <c r="BS574" s="4"/>
      <c r="BT574" s="4"/>
      <c r="BU574" s="4"/>
      <c r="BV574" s="4"/>
    </row>
    <row r="575" spans="29:74" ht="13.2"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4"/>
      <c r="BC575" s="4"/>
      <c r="BD575" s="4"/>
      <c r="BE575" s="4"/>
      <c r="BF575" s="4"/>
      <c r="BG575" s="4"/>
      <c r="BH575" s="4"/>
      <c r="BI575" s="4"/>
      <c r="BJ575" s="4"/>
      <c r="BK575" s="4"/>
      <c r="BL575" s="4"/>
      <c r="BM575" s="4"/>
      <c r="BN575" s="4"/>
      <c r="BO575" s="4"/>
      <c r="BP575" s="4"/>
      <c r="BQ575" s="4"/>
      <c r="BR575" s="4"/>
      <c r="BS575" s="4"/>
      <c r="BT575" s="4"/>
      <c r="BU575" s="4"/>
      <c r="BV575" s="4"/>
    </row>
    <row r="576" spans="29:74" ht="13.2"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  <c r="BC576" s="4"/>
      <c r="BD576" s="4"/>
      <c r="BE576" s="4"/>
      <c r="BF576" s="4"/>
      <c r="BG576" s="4"/>
      <c r="BH576" s="4"/>
      <c r="BI576" s="4"/>
      <c r="BJ576" s="4"/>
      <c r="BK576" s="4"/>
      <c r="BL576" s="4"/>
      <c r="BM576" s="4"/>
      <c r="BN576" s="4"/>
      <c r="BO576" s="4"/>
      <c r="BP576" s="4"/>
      <c r="BQ576" s="4"/>
      <c r="BR576" s="4"/>
      <c r="BS576" s="4"/>
      <c r="BT576" s="4"/>
      <c r="BU576" s="4"/>
      <c r="BV576" s="4"/>
    </row>
    <row r="577" spans="29:74" ht="13.2"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  <c r="BC577" s="4"/>
      <c r="BD577" s="4"/>
      <c r="BE577" s="4"/>
      <c r="BF577" s="4"/>
      <c r="BG577" s="4"/>
      <c r="BH577" s="4"/>
      <c r="BI577" s="4"/>
      <c r="BJ577" s="4"/>
      <c r="BK577" s="4"/>
      <c r="BL577" s="4"/>
      <c r="BM577" s="4"/>
      <c r="BN577" s="4"/>
      <c r="BO577" s="4"/>
      <c r="BP577" s="4"/>
      <c r="BQ577" s="4"/>
      <c r="BR577" s="4"/>
      <c r="BS577" s="4"/>
      <c r="BT577" s="4"/>
      <c r="BU577" s="4"/>
      <c r="BV577" s="4"/>
    </row>
    <row r="578" spans="29:74" ht="13.2"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  <c r="BC578" s="4"/>
      <c r="BD578" s="4"/>
      <c r="BE578" s="4"/>
      <c r="BF578" s="4"/>
      <c r="BG578" s="4"/>
      <c r="BH578" s="4"/>
      <c r="BI578" s="4"/>
      <c r="BJ578" s="4"/>
      <c r="BK578" s="4"/>
      <c r="BL578" s="4"/>
      <c r="BM578" s="4"/>
      <c r="BN578" s="4"/>
      <c r="BO578" s="4"/>
      <c r="BP578" s="4"/>
      <c r="BQ578" s="4"/>
      <c r="BR578" s="4"/>
      <c r="BS578" s="4"/>
      <c r="BT578" s="4"/>
      <c r="BU578" s="4"/>
      <c r="BV578" s="4"/>
    </row>
    <row r="579" spans="29:74" ht="13.2"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  <c r="BC579" s="4"/>
      <c r="BD579" s="4"/>
      <c r="BE579" s="4"/>
      <c r="BF579" s="4"/>
      <c r="BG579" s="4"/>
      <c r="BH579" s="4"/>
      <c r="BI579" s="4"/>
      <c r="BJ579" s="4"/>
      <c r="BK579" s="4"/>
      <c r="BL579" s="4"/>
      <c r="BM579" s="4"/>
      <c r="BN579" s="4"/>
      <c r="BO579" s="4"/>
      <c r="BP579" s="4"/>
      <c r="BQ579" s="4"/>
      <c r="BR579" s="4"/>
      <c r="BS579" s="4"/>
      <c r="BT579" s="4"/>
      <c r="BU579" s="4"/>
      <c r="BV579" s="4"/>
    </row>
    <row r="580" spans="29:74" ht="13.2"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  <c r="BC580" s="4"/>
      <c r="BD580" s="4"/>
      <c r="BE580" s="4"/>
      <c r="BF580" s="4"/>
      <c r="BG580" s="4"/>
      <c r="BH580" s="4"/>
      <c r="BI580" s="4"/>
      <c r="BJ580" s="4"/>
      <c r="BK580" s="4"/>
      <c r="BL580" s="4"/>
      <c r="BM580" s="4"/>
      <c r="BN580" s="4"/>
      <c r="BO580" s="4"/>
      <c r="BP580" s="4"/>
      <c r="BQ580" s="4"/>
      <c r="BR580" s="4"/>
      <c r="BS580" s="4"/>
      <c r="BT580" s="4"/>
      <c r="BU580" s="4"/>
      <c r="BV580" s="4"/>
    </row>
    <row r="581" spans="29:74" ht="13.2"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  <c r="BC581" s="4"/>
      <c r="BD581" s="4"/>
      <c r="BE581" s="4"/>
      <c r="BF581" s="4"/>
      <c r="BG581" s="4"/>
      <c r="BH581" s="4"/>
      <c r="BI581" s="4"/>
      <c r="BJ581" s="4"/>
      <c r="BK581" s="4"/>
      <c r="BL581" s="4"/>
      <c r="BM581" s="4"/>
      <c r="BN581" s="4"/>
      <c r="BO581" s="4"/>
      <c r="BP581" s="4"/>
      <c r="BQ581" s="4"/>
      <c r="BR581" s="4"/>
      <c r="BS581" s="4"/>
      <c r="BT581" s="4"/>
      <c r="BU581" s="4"/>
      <c r="BV581" s="4"/>
    </row>
    <row r="582" spans="29:74" ht="13.2"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4"/>
      <c r="BC582" s="4"/>
      <c r="BD582" s="4"/>
      <c r="BE582" s="4"/>
      <c r="BF582" s="4"/>
      <c r="BG582" s="4"/>
      <c r="BH582" s="4"/>
      <c r="BI582" s="4"/>
      <c r="BJ582" s="4"/>
      <c r="BK582" s="4"/>
      <c r="BL582" s="4"/>
      <c r="BM582" s="4"/>
      <c r="BN582" s="4"/>
      <c r="BO582" s="4"/>
      <c r="BP582" s="4"/>
      <c r="BQ582" s="4"/>
      <c r="BR582" s="4"/>
      <c r="BS582" s="4"/>
      <c r="BT582" s="4"/>
      <c r="BU582" s="4"/>
      <c r="BV582" s="4"/>
    </row>
    <row r="583" spans="29:74" ht="13.2"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  <c r="BC583" s="4"/>
      <c r="BD583" s="4"/>
      <c r="BE583" s="4"/>
      <c r="BF583" s="4"/>
      <c r="BG583" s="4"/>
      <c r="BH583" s="4"/>
      <c r="BI583" s="4"/>
      <c r="BJ583" s="4"/>
      <c r="BK583" s="4"/>
      <c r="BL583" s="4"/>
      <c r="BM583" s="4"/>
      <c r="BN583" s="4"/>
      <c r="BO583" s="4"/>
      <c r="BP583" s="4"/>
      <c r="BQ583" s="4"/>
      <c r="BR583" s="4"/>
      <c r="BS583" s="4"/>
      <c r="BT583" s="4"/>
      <c r="BU583" s="4"/>
      <c r="BV583" s="4"/>
    </row>
    <row r="584" spans="29:74" ht="13.2"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  <c r="BC584" s="4"/>
      <c r="BD584" s="4"/>
      <c r="BE584" s="4"/>
      <c r="BF584" s="4"/>
      <c r="BG584" s="4"/>
      <c r="BH584" s="4"/>
      <c r="BI584" s="4"/>
      <c r="BJ584" s="4"/>
      <c r="BK584" s="4"/>
      <c r="BL584" s="4"/>
      <c r="BM584" s="4"/>
      <c r="BN584" s="4"/>
      <c r="BO584" s="4"/>
      <c r="BP584" s="4"/>
      <c r="BQ584" s="4"/>
      <c r="BR584" s="4"/>
      <c r="BS584" s="4"/>
      <c r="BT584" s="4"/>
      <c r="BU584" s="4"/>
      <c r="BV584" s="4"/>
    </row>
    <row r="585" spans="29:74" ht="13.2"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  <c r="BC585" s="4"/>
      <c r="BD585" s="4"/>
      <c r="BE585" s="4"/>
      <c r="BF585" s="4"/>
      <c r="BG585" s="4"/>
      <c r="BH585" s="4"/>
      <c r="BI585" s="4"/>
      <c r="BJ585" s="4"/>
      <c r="BK585" s="4"/>
      <c r="BL585" s="4"/>
      <c r="BM585" s="4"/>
      <c r="BN585" s="4"/>
      <c r="BO585" s="4"/>
      <c r="BP585" s="4"/>
      <c r="BQ585" s="4"/>
      <c r="BR585" s="4"/>
      <c r="BS585" s="4"/>
      <c r="BT585" s="4"/>
      <c r="BU585" s="4"/>
      <c r="BV585" s="4"/>
    </row>
    <row r="586" spans="29:74" ht="13.2"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  <c r="BC586" s="4"/>
      <c r="BD586" s="4"/>
      <c r="BE586" s="4"/>
      <c r="BF586" s="4"/>
      <c r="BG586" s="4"/>
      <c r="BH586" s="4"/>
      <c r="BI586" s="4"/>
      <c r="BJ586" s="4"/>
      <c r="BK586" s="4"/>
      <c r="BL586" s="4"/>
      <c r="BM586" s="4"/>
      <c r="BN586" s="4"/>
      <c r="BO586" s="4"/>
      <c r="BP586" s="4"/>
      <c r="BQ586" s="4"/>
      <c r="BR586" s="4"/>
      <c r="BS586" s="4"/>
      <c r="BT586" s="4"/>
      <c r="BU586" s="4"/>
      <c r="BV586" s="4"/>
    </row>
    <row r="587" spans="29:74" ht="13.2"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  <c r="BC587" s="4"/>
      <c r="BD587" s="4"/>
      <c r="BE587" s="4"/>
      <c r="BF587" s="4"/>
      <c r="BG587" s="4"/>
      <c r="BH587" s="4"/>
      <c r="BI587" s="4"/>
      <c r="BJ587" s="4"/>
      <c r="BK587" s="4"/>
      <c r="BL587" s="4"/>
      <c r="BM587" s="4"/>
      <c r="BN587" s="4"/>
      <c r="BO587" s="4"/>
      <c r="BP587" s="4"/>
      <c r="BQ587" s="4"/>
      <c r="BR587" s="4"/>
      <c r="BS587" s="4"/>
      <c r="BT587" s="4"/>
      <c r="BU587" s="4"/>
      <c r="BV587" s="4"/>
    </row>
    <row r="588" spans="29:74" ht="13.2"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  <c r="BC588" s="4"/>
      <c r="BD588" s="4"/>
      <c r="BE588" s="4"/>
      <c r="BF588" s="4"/>
      <c r="BG588" s="4"/>
      <c r="BH588" s="4"/>
      <c r="BI588" s="4"/>
      <c r="BJ588" s="4"/>
      <c r="BK588" s="4"/>
      <c r="BL588" s="4"/>
      <c r="BM588" s="4"/>
      <c r="BN588" s="4"/>
      <c r="BO588" s="4"/>
      <c r="BP588" s="4"/>
      <c r="BQ588" s="4"/>
      <c r="BR588" s="4"/>
      <c r="BS588" s="4"/>
      <c r="BT588" s="4"/>
      <c r="BU588" s="4"/>
      <c r="BV588" s="4"/>
    </row>
    <row r="589" spans="29:74" ht="13.2"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  <c r="BC589" s="4"/>
      <c r="BD589" s="4"/>
      <c r="BE589" s="4"/>
      <c r="BF589" s="4"/>
      <c r="BG589" s="4"/>
      <c r="BH589" s="4"/>
      <c r="BI589" s="4"/>
      <c r="BJ589" s="4"/>
      <c r="BK589" s="4"/>
      <c r="BL589" s="4"/>
      <c r="BM589" s="4"/>
      <c r="BN589" s="4"/>
      <c r="BO589" s="4"/>
      <c r="BP589" s="4"/>
      <c r="BQ589" s="4"/>
      <c r="BR589" s="4"/>
      <c r="BS589" s="4"/>
      <c r="BT589" s="4"/>
      <c r="BU589" s="4"/>
      <c r="BV589" s="4"/>
    </row>
    <row r="590" spans="29:74" ht="13.2"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  <c r="BC590" s="4"/>
      <c r="BD590" s="4"/>
      <c r="BE590" s="4"/>
      <c r="BF590" s="4"/>
      <c r="BG590" s="4"/>
      <c r="BH590" s="4"/>
      <c r="BI590" s="4"/>
      <c r="BJ590" s="4"/>
      <c r="BK590" s="4"/>
      <c r="BL590" s="4"/>
      <c r="BM590" s="4"/>
      <c r="BN590" s="4"/>
      <c r="BO590" s="4"/>
      <c r="BP590" s="4"/>
      <c r="BQ590" s="4"/>
      <c r="BR590" s="4"/>
      <c r="BS590" s="4"/>
      <c r="BT590" s="4"/>
      <c r="BU590" s="4"/>
      <c r="BV590" s="4"/>
    </row>
    <row r="591" spans="29:74" ht="13.2"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  <c r="BC591" s="4"/>
      <c r="BD591" s="4"/>
      <c r="BE591" s="4"/>
      <c r="BF591" s="4"/>
      <c r="BG591" s="4"/>
      <c r="BH591" s="4"/>
      <c r="BI591" s="4"/>
      <c r="BJ591" s="4"/>
      <c r="BK591" s="4"/>
      <c r="BL591" s="4"/>
      <c r="BM591" s="4"/>
      <c r="BN591" s="4"/>
      <c r="BO591" s="4"/>
      <c r="BP591" s="4"/>
      <c r="BQ591" s="4"/>
      <c r="BR591" s="4"/>
      <c r="BS591" s="4"/>
      <c r="BT591" s="4"/>
      <c r="BU591" s="4"/>
      <c r="BV591" s="4"/>
    </row>
    <row r="592" spans="29:74" ht="13.2"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  <c r="BC592" s="4"/>
      <c r="BD592" s="4"/>
      <c r="BE592" s="4"/>
      <c r="BF592" s="4"/>
      <c r="BG592" s="4"/>
      <c r="BH592" s="4"/>
      <c r="BI592" s="4"/>
      <c r="BJ592" s="4"/>
      <c r="BK592" s="4"/>
      <c r="BL592" s="4"/>
      <c r="BM592" s="4"/>
      <c r="BN592" s="4"/>
      <c r="BO592" s="4"/>
      <c r="BP592" s="4"/>
      <c r="BQ592" s="4"/>
      <c r="BR592" s="4"/>
      <c r="BS592" s="4"/>
      <c r="BT592" s="4"/>
      <c r="BU592" s="4"/>
      <c r="BV592" s="4"/>
    </row>
    <row r="593" spans="29:74" ht="13.2"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  <c r="BC593" s="4"/>
      <c r="BD593" s="4"/>
      <c r="BE593" s="4"/>
      <c r="BF593" s="4"/>
      <c r="BG593" s="4"/>
      <c r="BH593" s="4"/>
      <c r="BI593" s="4"/>
      <c r="BJ593" s="4"/>
      <c r="BK593" s="4"/>
      <c r="BL593" s="4"/>
      <c r="BM593" s="4"/>
      <c r="BN593" s="4"/>
      <c r="BO593" s="4"/>
      <c r="BP593" s="4"/>
      <c r="BQ593" s="4"/>
      <c r="BR593" s="4"/>
      <c r="BS593" s="4"/>
      <c r="BT593" s="4"/>
      <c r="BU593" s="4"/>
      <c r="BV593" s="4"/>
    </row>
    <row r="594" spans="29:74" ht="13.2"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  <c r="BC594" s="4"/>
      <c r="BD594" s="4"/>
      <c r="BE594" s="4"/>
      <c r="BF594" s="4"/>
      <c r="BG594" s="4"/>
      <c r="BH594" s="4"/>
      <c r="BI594" s="4"/>
      <c r="BJ594" s="4"/>
      <c r="BK594" s="4"/>
      <c r="BL594" s="4"/>
      <c r="BM594" s="4"/>
      <c r="BN594" s="4"/>
      <c r="BO594" s="4"/>
      <c r="BP594" s="4"/>
      <c r="BQ594" s="4"/>
      <c r="BR594" s="4"/>
      <c r="BS594" s="4"/>
      <c r="BT594" s="4"/>
      <c r="BU594" s="4"/>
      <c r="BV594" s="4"/>
    </row>
    <row r="595" spans="29:74" ht="13.2"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  <c r="BC595" s="4"/>
      <c r="BD595" s="4"/>
      <c r="BE595" s="4"/>
      <c r="BF595" s="4"/>
      <c r="BG595" s="4"/>
      <c r="BH595" s="4"/>
      <c r="BI595" s="4"/>
      <c r="BJ595" s="4"/>
      <c r="BK595" s="4"/>
      <c r="BL595" s="4"/>
      <c r="BM595" s="4"/>
      <c r="BN595" s="4"/>
      <c r="BO595" s="4"/>
      <c r="BP595" s="4"/>
      <c r="BQ595" s="4"/>
      <c r="BR595" s="4"/>
      <c r="BS595" s="4"/>
      <c r="BT595" s="4"/>
      <c r="BU595" s="4"/>
      <c r="BV595" s="4"/>
    </row>
    <row r="596" spans="29:74" ht="13.2"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  <c r="BC596" s="4"/>
      <c r="BD596" s="4"/>
      <c r="BE596" s="4"/>
      <c r="BF596" s="4"/>
      <c r="BG596" s="4"/>
      <c r="BH596" s="4"/>
      <c r="BI596" s="4"/>
      <c r="BJ596" s="4"/>
      <c r="BK596" s="4"/>
      <c r="BL596" s="4"/>
      <c r="BM596" s="4"/>
      <c r="BN596" s="4"/>
      <c r="BO596" s="4"/>
      <c r="BP596" s="4"/>
      <c r="BQ596" s="4"/>
      <c r="BR596" s="4"/>
      <c r="BS596" s="4"/>
      <c r="BT596" s="4"/>
      <c r="BU596" s="4"/>
      <c r="BV596" s="4"/>
    </row>
    <row r="597" spans="29:74" ht="13.2"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  <c r="BC597" s="4"/>
      <c r="BD597" s="4"/>
      <c r="BE597" s="4"/>
      <c r="BF597" s="4"/>
      <c r="BG597" s="4"/>
      <c r="BH597" s="4"/>
      <c r="BI597" s="4"/>
      <c r="BJ597" s="4"/>
      <c r="BK597" s="4"/>
      <c r="BL597" s="4"/>
      <c r="BM597" s="4"/>
      <c r="BN597" s="4"/>
      <c r="BO597" s="4"/>
      <c r="BP597" s="4"/>
      <c r="BQ597" s="4"/>
      <c r="BR597" s="4"/>
      <c r="BS597" s="4"/>
      <c r="BT597" s="4"/>
      <c r="BU597" s="4"/>
      <c r="BV597" s="4"/>
    </row>
    <row r="598" spans="29:74" ht="13.2"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4"/>
      <c r="BC598" s="4"/>
      <c r="BD598" s="4"/>
      <c r="BE598" s="4"/>
      <c r="BF598" s="4"/>
      <c r="BG598" s="4"/>
      <c r="BH598" s="4"/>
      <c r="BI598" s="4"/>
      <c r="BJ598" s="4"/>
      <c r="BK598" s="4"/>
      <c r="BL598" s="4"/>
      <c r="BM598" s="4"/>
      <c r="BN598" s="4"/>
      <c r="BO598" s="4"/>
      <c r="BP598" s="4"/>
      <c r="BQ598" s="4"/>
      <c r="BR598" s="4"/>
      <c r="BS598" s="4"/>
      <c r="BT598" s="4"/>
      <c r="BU598" s="4"/>
      <c r="BV598" s="4"/>
    </row>
    <row r="599" spans="29:74" ht="13.2"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4"/>
      <c r="BC599" s="4"/>
      <c r="BD599" s="4"/>
      <c r="BE599" s="4"/>
      <c r="BF599" s="4"/>
      <c r="BG599" s="4"/>
      <c r="BH599" s="4"/>
      <c r="BI599" s="4"/>
      <c r="BJ599" s="4"/>
      <c r="BK599" s="4"/>
      <c r="BL599" s="4"/>
      <c r="BM599" s="4"/>
      <c r="BN599" s="4"/>
      <c r="BO599" s="4"/>
      <c r="BP599" s="4"/>
      <c r="BQ599" s="4"/>
      <c r="BR599" s="4"/>
      <c r="BS599" s="4"/>
      <c r="BT599" s="4"/>
      <c r="BU599" s="4"/>
      <c r="BV599" s="4"/>
    </row>
    <row r="600" spans="29:74" ht="13.2"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  <c r="BC600" s="4"/>
      <c r="BD600" s="4"/>
      <c r="BE600" s="4"/>
      <c r="BF600" s="4"/>
      <c r="BG600" s="4"/>
      <c r="BH600" s="4"/>
      <c r="BI600" s="4"/>
      <c r="BJ600" s="4"/>
      <c r="BK600" s="4"/>
      <c r="BL600" s="4"/>
      <c r="BM600" s="4"/>
      <c r="BN600" s="4"/>
      <c r="BO600" s="4"/>
      <c r="BP600" s="4"/>
      <c r="BQ600" s="4"/>
      <c r="BR600" s="4"/>
      <c r="BS600" s="4"/>
      <c r="BT600" s="4"/>
      <c r="BU600" s="4"/>
      <c r="BV600" s="4"/>
    </row>
    <row r="601" spans="29:74" ht="13.2"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  <c r="BC601" s="4"/>
      <c r="BD601" s="4"/>
      <c r="BE601" s="4"/>
      <c r="BF601" s="4"/>
      <c r="BG601" s="4"/>
      <c r="BH601" s="4"/>
      <c r="BI601" s="4"/>
      <c r="BJ601" s="4"/>
      <c r="BK601" s="4"/>
      <c r="BL601" s="4"/>
      <c r="BM601" s="4"/>
      <c r="BN601" s="4"/>
      <c r="BO601" s="4"/>
      <c r="BP601" s="4"/>
      <c r="BQ601" s="4"/>
      <c r="BR601" s="4"/>
      <c r="BS601" s="4"/>
      <c r="BT601" s="4"/>
      <c r="BU601" s="4"/>
      <c r="BV601" s="4"/>
    </row>
    <row r="602" spans="29:74" ht="13.2"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4"/>
      <c r="BC602" s="4"/>
      <c r="BD602" s="4"/>
      <c r="BE602" s="4"/>
      <c r="BF602" s="4"/>
      <c r="BG602" s="4"/>
      <c r="BH602" s="4"/>
      <c r="BI602" s="4"/>
      <c r="BJ602" s="4"/>
      <c r="BK602" s="4"/>
      <c r="BL602" s="4"/>
      <c r="BM602" s="4"/>
      <c r="BN602" s="4"/>
      <c r="BO602" s="4"/>
      <c r="BP602" s="4"/>
      <c r="BQ602" s="4"/>
      <c r="BR602" s="4"/>
      <c r="BS602" s="4"/>
      <c r="BT602" s="4"/>
      <c r="BU602" s="4"/>
      <c r="BV602" s="4"/>
    </row>
    <row r="603" spans="29:74" ht="13.2"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  <c r="BC603" s="4"/>
      <c r="BD603" s="4"/>
      <c r="BE603" s="4"/>
      <c r="BF603" s="4"/>
      <c r="BG603" s="4"/>
      <c r="BH603" s="4"/>
      <c r="BI603" s="4"/>
      <c r="BJ603" s="4"/>
      <c r="BK603" s="4"/>
      <c r="BL603" s="4"/>
      <c r="BM603" s="4"/>
      <c r="BN603" s="4"/>
      <c r="BO603" s="4"/>
      <c r="BP603" s="4"/>
      <c r="BQ603" s="4"/>
      <c r="BR603" s="4"/>
      <c r="BS603" s="4"/>
      <c r="BT603" s="4"/>
      <c r="BU603" s="4"/>
      <c r="BV603" s="4"/>
    </row>
    <row r="604" spans="29:74" ht="13.2"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  <c r="BC604" s="4"/>
      <c r="BD604" s="4"/>
      <c r="BE604" s="4"/>
      <c r="BF604" s="4"/>
      <c r="BG604" s="4"/>
      <c r="BH604" s="4"/>
      <c r="BI604" s="4"/>
      <c r="BJ604" s="4"/>
      <c r="BK604" s="4"/>
      <c r="BL604" s="4"/>
      <c r="BM604" s="4"/>
      <c r="BN604" s="4"/>
      <c r="BO604" s="4"/>
      <c r="BP604" s="4"/>
      <c r="BQ604" s="4"/>
      <c r="BR604" s="4"/>
      <c r="BS604" s="4"/>
      <c r="BT604" s="4"/>
      <c r="BU604" s="4"/>
      <c r="BV604" s="4"/>
    </row>
    <row r="605" spans="29:74" ht="13.2"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4"/>
      <c r="BE605" s="4"/>
      <c r="BF605" s="4"/>
      <c r="BG605" s="4"/>
      <c r="BH605" s="4"/>
      <c r="BI605" s="4"/>
      <c r="BJ605" s="4"/>
      <c r="BK605" s="4"/>
      <c r="BL605" s="4"/>
      <c r="BM605" s="4"/>
      <c r="BN605" s="4"/>
      <c r="BO605" s="4"/>
      <c r="BP605" s="4"/>
      <c r="BQ605" s="4"/>
      <c r="BR605" s="4"/>
      <c r="BS605" s="4"/>
      <c r="BT605" s="4"/>
      <c r="BU605" s="4"/>
      <c r="BV605" s="4"/>
    </row>
    <row r="606" spans="29:74" ht="13.2"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  <c r="BC606" s="4"/>
      <c r="BD606" s="4"/>
      <c r="BE606" s="4"/>
      <c r="BF606" s="4"/>
      <c r="BG606" s="4"/>
      <c r="BH606" s="4"/>
      <c r="BI606" s="4"/>
      <c r="BJ606" s="4"/>
      <c r="BK606" s="4"/>
      <c r="BL606" s="4"/>
      <c r="BM606" s="4"/>
      <c r="BN606" s="4"/>
      <c r="BO606" s="4"/>
      <c r="BP606" s="4"/>
      <c r="BQ606" s="4"/>
      <c r="BR606" s="4"/>
      <c r="BS606" s="4"/>
      <c r="BT606" s="4"/>
      <c r="BU606" s="4"/>
      <c r="BV606" s="4"/>
    </row>
    <row r="607" spans="29:74" ht="13.2"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4"/>
      <c r="BE607" s="4"/>
      <c r="BF607" s="4"/>
      <c r="BG607" s="4"/>
      <c r="BH607" s="4"/>
      <c r="BI607" s="4"/>
      <c r="BJ607" s="4"/>
      <c r="BK607" s="4"/>
      <c r="BL607" s="4"/>
      <c r="BM607" s="4"/>
      <c r="BN607" s="4"/>
      <c r="BO607" s="4"/>
      <c r="BP607" s="4"/>
      <c r="BQ607" s="4"/>
      <c r="BR607" s="4"/>
      <c r="BS607" s="4"/>
      <c r="BT607" s="4"/>
      <c r="BU607" s="4"/>
      <c r="BV607" s="4"/>
    </row>
    <row r="608" spans="29:74" ht="13.2"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4"/>
      <c r="BE608" s="4"/>
      <c r="BF608" s="4"/>
      <c r="BG608" s="4"/>
      <c r="BH608" s="4"/>
      <c r="BI608" s="4"/>
      <c r="BJ608" s="4"/>
      <c r="BK608" s="4"/>
      <c r="BL608" s="4"/>
      <c r="BM608" s="4"/>
      <c r="BN608" s="4"/>
      <c r="BO608" s="4"/>
      <c r="BP608" s="4"/>
      <c r="BQ608" s="4"/>
      <c r="BR608" s="4"/>
      <c r="BS608" s="4"/>
      <c r="BT608" s="4"/>
      <c r="BU608" s="4"/>
      <c r="BV608" s="4"/>
    </row>
    <row r="609" spans="29:74" ht="13.2"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4"/>
      <c r="BE609" s="4"/>
      <c r="BF609" s="4"/>
      <c r="BG609" s="4"/>
      <c r="BH609" s="4"/>
      <c r="BI609" s="4"/>
      <c r="BJ609" s="4"/>
      <c r="BK609" s="4"/>
      <c r="BL609" s="4"/>
      <c r="BM609" s="4"/>
      <c r="BN609" s="4"/>
      <c r="BO609" s="4"/>
      <c r="BP609" s="4"/>
      <c r="BQ609" s="4"/>
      <c r="BR609" s="4"/>
      <c r="BS609" s="4"/>
      <c r="BT609" s="4"/>
      <c r="BU609" s="4"/>
      <c r="BV609" s="4"/>
    </row>
    <row r="610" spans="29:74" ht="13.2"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4"/>
      <c r="BE610" s="4"/>
      <c r="BF610" s="4"/>
      <c r="BG610" s="4"/>
      <c r="BH610" s="4"/>
      <c r="BI610" s="4"/>
      <c r="BJ610" s="4"/>
      <c r="BK610" s="4"/>
      <c r="BL610" s="4"/>
      <c r="BM610" s="4"/>
      <c r="BN610" s="4"/>
      <c r="BO610" s="4"/>
      <c r="BP610" s="4"/>
      <c r="BQ610" s="4"/>
      <c r="BR610" s="4"/>
      <c r="BS610" s="4"/>
      <c r="BT610" s="4"/>
      <c r="BU610" s="4"/>
      <c r="BV610" s="4"/>
    </row>
    <row r="611" spans="29:74" ht="13.2"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4"/>
      <c r="BE611" s="4"/>
      <c r="BF611" s="4"/>
      <c r="BG611" s="4"/>
      <c r="BH611" s="4"/>
      <c r="BI611" s="4"/>
      <c r="BJ611" s="4"/>
      <c r="BK611" s="4"/>
      <c r="BL611" s="4"/>
      <c r="BM611" s="4"/>
      <c r="BN611" s="4"/>
      <c r="BO611" s="4"/>
      <c r="BP611" s="4"/>
      <c r="BQ611" s="4"/>
      <c r="BR611" s="4"/>
      <c r="BS611" s="4"/>
      <c r="BT611" s="4"/>
      <c r="BU611" s="4"/>
      <c r="BV611" s="4"/>
    </row>
    <row r="612" spans="29:74" ht="13.2"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4"/>
      <c r="BE612" s="4"/>
      <c r="BF612" s="4"/>
      <c r="BG612" s="4"/>
      <c r="BH612" s="4"/>
      <c r="BI612" s="4"/>
      <c r="BJ612" s="4"/>
      <c r="BK612" s="4"/>
      <c r="BL612" s="4"/>
      <c r="BM612" s="4"/>
      <c r="BN612" s="4"/>
      <c r="BO612" s="4"/>
      <c r="BP612" s="4"/>
      <c r="BQ612" s="4"/>
      <c r="BR612" s="4"/>
      <c r="BS612" s="4"/>
      <c r="BT612" s="4"/>
      <c r="BU612" s="4"/>
      <c r="BV612" s="4"/>
    </row>
    <row r="613" spans="29:74" ht="13.2"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4"/>
      <c r="BE613" s="4"/>
      <c r="BF613" s="4"/>
      <c r="BG613" s="4"/>
      <c r="BH613" s="4"/>
      <c r="BI613" s="4"/>
      <c r="BJ613" s="4"/>
      <c r="BK613" s="4"/>
      <c r="BL613" s="4"/>
      <c r="BM613" s="4"/>
      <c r="BN613" s="4"/>
      <c r="BO613" s="4"/>
      <c r="BP613" s="4"/>
      <c r="BQ613" s="4"/>
      <c r="BR613" s="4"/>
      <c r="BS613" s="4"/>
      <c r="BT613" s="4"/>
      <c r="BU613" s="4"/>
      <c r="BV613" s="4"/>
    </row>
    <row r="614" spans="29:74" ht="13.2"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4"/>
      <c r="BE614" s="4"/>
      <c r="BF614" s="4"/>
      <c r="BG614" s="4"/>
      <c r="BH614" s="4"/>
      <c r="BI614" s="4"/>
      <c r="BJ614" s="4"/>
      <c r="BK614" s="4"/>
      <c r="BL614" s="4"/>
      <c r="BM614" s="4"/>
      <c r="BN614" s="4"/>
      <c r="BO614" s="4"/>
      <c r="BP614" s="4"/>
      <c r="BQ614" s="4"/>
      <c r="BR614" s="4"/>
      <c r="BS614" s="4"/>
      <c r="BT614" s="4"/>
      <c r="BU614" s="4"/>
      <c r="BV614" s="4"/>
    </row>
    <row r="615" spans="29:74" ht="13.2"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4"/>
      <c r="BC615" s="4"/>
      <c r="BD615" s="4"/>
      <c r="BE615" s="4"/>
      <c r="BF615" s="4"/>
      <c r="BG615" s="4"/>
      <c r="BH615" s="4"/>
      <c r="BI615" s="4"/>
      <c r="BJ615" s="4"/>
      <c r="BK615" s="4"/>
      <c r="BL615" s="4"/>
      <c r="BM615" s="4"/>
      <c r="BN615" s="4"/>
      <c r="BO615" s="4"/>
      <c r="BP615" s="4"/>
      <c r="BQ615" s="4"/>
      <c r="BR615" s="4"/>
      <c r="BS615" s="4"/>
      <c r="BT615" s="4"/>
      <c r="BU615" s="4"/>
      <c r="BV615" s="4"/>
    </row>
    <row r="616" spans="29:74" ht="13.2"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4"/>
      <c r="BE616" s="4"/>
      <c r="BF616" s="4"/>
      <c r="BG616" s="4"/>
      <c r="BH616" s="4"/>
      <c r="BI616" s="4"/>
      <c r="BJ616" s="4"/>
      <c r="BK616" s="4"/>
      <c r="BL616" s="4"/>
      <c r="BM616" s="4"/>
      <c r="BN616" s="4"/>
      <c r="BO616" s="4"/>
      <c r="BP616" s="4"/>
      <c r="BQ616" s="4"/>
      <c r="BR616" s="4"/>
      <c r="BS616" s="4"/>
      <c r="BT616" s="4"/>
      <c r="BU616" s="4"/>
      <c r="BV616" s="4"/>
    </row>
    <row r="617" spans="29:74" ht="13.2"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  <c r="BC617" s="4"/>
      <c r="BD617" s="4"/>
      <c r="BE617" s="4"/>
      <c r="BF617" s="4"/>
      <c r="BG617" s="4"/>
      <c r="BH617" s="4"/>
      <c r="BI617" s="4"/>
      <c r="BJ617" s="4"/>
      <c r="BK617" s="4"/>
      <c r="BL617" s="4"/>
      <c r="BM617" s="4"/>
      <c r="BN617" s="4"/>
      <c r="BO617" s="4"/>
      <c r="BP617" s="4"/>
      <c r="BQ617" s="4"/>
      <c r="BR617" s="4"/>
      <c r="BS617" s="4"/>
      <c r="BT617" s="4"/>
      <c r="BU617" s="4"/>
      <c r="BV617" s="4"/>
    </row>
    <row r="618" spans="29:74" ht="13.2"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  <c r="BC618" s="4"/>
      <c r="BD618" s="4"/>
      <c r="BE618" s="4"/>
      <c r="BF618" s="4"/>
      <c r="BG618" s="4"/>
      <c r="BH618" s="4"/>
      <c r="BI618" s="4"/>
      <c r="BJ618" s="4"/>
      <c r="BK618" s="4"/>
      <c r="BL618" s="4"/>
      <c r="BM618" s="4"/>
      <c r="BN618" s="4"/>
      <c r="BO618" s="4"/>
      <c r="BP618" s="4"/>
      <c r="BQ618" s="4"/>
      <c r="BR618" s="4"/>
      <c r="BS618" s="4"/>
      <c r="BT618" s="4"/>
      <c r="BU618" s="4"/>
      <c r="BV618" s="4"/>
    </row>
    <row r="619" spans="29:74" ht="13.2"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  <c r="BC619" s="4"/>
      <c r="BD619" s="4"/>
      <c r="BE619" s="4"/>
      <c r="BF619" s="4"/>
      <c r="BG619" s="4"/>
      <c r="BH619" s="4"/>
      <c r="BI619" s="4"/>
      <c r="BJ619" s="4"/>
      <c r="BK619" s="4"/>
      <c r="BL619" s="4"/>
      <c r="BM619" s="4"/>
      <c r="BN619" s="4"/>
      <c r="BO619" s="4"/>
      <c r="BP619" s="4"/>
      <c r="BQ619" s="4"/>
      <c r="BR619" s="4"/>
      <c r="BS619" s="4"/>
      <c r="BT619" s="4"/>
      <c r="BU619" s="4"/>
      <c r="BV619" s="4"/>
    </row>
    <row r="620" spans="29:74" ht="13.2"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  <c r="BC620" s="4"/>
      <c r="BD620" s="4"/>
      <c r="BE620" s="4"/>
      <c r="BF620" s="4"/>
      <c r="BG620" s="4"/>
      <c r="BH620" s="4"/>
      <c r="BI620" s="4"/>
      <c r="BJ620" s="4"/>
      <c r="BK620" s="4"/>
      <c r="BL620" s="4"/>
      <c r="BM620" s="4"/>
      <c r="BN620" s="4"/>
      <c r="BO620" s="4"/>
      <c r="BP620" s="4"/>
      <c r="BQ620" s="4"/>
      <c r="BR620" s="4"/>
      <c r="BS620" s="4"/>
      <c r="BT620" s="4"/>
      <c r="BU620" s="4"/>
      <c r="BV620" s="4"/>
    </row>
    <row r="621" spans="29:74" ht="13.2"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  <c r="BK621" s="4"/>
      <c r="BL621" s="4"/>
      <c r="BM621" s="4"/>
      <c r="BN621" s="4"/>
      <c r="BO621" s="4"/>
      <c r="BP621" s="4"/>
      <c r="BQ621" s="4"/>
      <c r="BR621" s="4"/>
      <c r="BS621" s="4"/>
      <c r="BT621" s="4"/>
      <c r="BU621" s="4"/>
      <c r="BV621" s="4"/>
    </row>
    <row r="622" spans="29:74" ht="13.2"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  <c r="BC622" s="4"/>
      <c r="BD622" s="4"/>
      <c r="BE622" s="4"/>
      <c r="BF622" s="4"/>
      <c r="BG622" s="4"/>
      <c r="BH622" s="4"/>
      <c r="BI622" s="4"/>
      <c r="BJ622" s="4"/>
      <c r="BK622" s="4"/>
      <c r="BL622" s="4"/>
      <c r="BM622" s="4"/>
      <c r="BN622" s="4"/>
      <c r="BO622" s="4"/>
      <c r="BP622" s="4"/>
      <c r="BQ622" s="4"/>
      <c r="BR622" s="4"/>
      <c r="BS622" s="4"/>
      <c r="BT622" s="4"/>
      <c r="BU622" s="4"/>
      <c r="BV622" s="4"/>
    </row>
    <row r="623" spans="29:74" ht="13.2"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4"/>
      <c r="BC623" s="4"/>
      <c r="BD623" s="4"/>
      <c r="BE623" s="4"/>
      <c r="BF623" s="4"/>
      <c r="BG623" s="4"/>
      <c r="BH623" s="4"/>
      <c r="BI623" s="4"/>
      <c r="BJ623" s="4"/>
      <c r="BK623" s="4"/>
      <c r="BL623" s="4"/>
      <c r="BM623" s="4"/>
      <c r="BN623" s="4"/>
      <c r="BO623" s="4"/>
      <c r="BP623" s="4"/>
      <c r="BQ623" s="4"/>
      <c r="BR623" s="4"/>
      <c r="BS623" s="4"/>
      <c r="BT623" s="4"/>
      <c r="BU623" s="4"/>
      <c r="BV623" s="4"/>
    </row>
    <row r="624" spans="29:74" ht="13.2"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  <c r="BC624" s="4"/>
      <c r="BD624" s="4"/>
      <c r="BE624" s="4"/>
      <c r="BF624" s="4"/>
      <c r="BG624" s="4"/>
      <c r="BH624" s="4"/>
      <c r="BI624" s="4"/>
      <c r="BJ624" s="4"/>
      <c r="BK624" s="4"/>
      <c r="BL624" s="4"/>
      <c r="BM624" s="4"/>
      <c r="BN624" s="4"/>
      <c r="BO624" s="4"/>
      <c r="BP624" s="4"/>
      <c r="BQ624" s="4"/>
      <c r="BR624" s="4"/>
      <c r="BS624" s="4"/>
      <c r="BT624" s="4"/>
      <c r="BU624" s="4"/>
      <c r="BV624" s="4"/>
    </row>
    <row r="625" spans="29:74" ht="13.2"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  <c r="BC625" s="4"/>
      <c r="BD625" s="4"/>
      <c r="BE625" s="4"/>
      <c r="BF625" s="4"/>
      <c r="BG625" s="4"/>
      <c r="BH625" s="4"/>
      <c r="BI625" s="4"/>
      <c r="BJ625" s="4"/>
      <c r="BK625" s="4"/>
      <c r="BL625" s="4"/>
      <c r="BM625" s="4"/>
      <c r="BN625" s="4"/>
      <c r="BO625" s="4"/>
      <c r="BP625" s="4"/>
      <c r="BQ625" s="4"/>
      <c r="BR625" s="4"/>
      <c r="BS625" s="4"/>
      <c r="BT625" s="4"/>
      <c r="BU625" s="4"/>
      <c r="BV625" s="4"/>
    </row>
    <row r="626" spans="29:74" ht="13.2"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  <c r="BC626" s="4"/>
      <c r="BD626" s="4"/>
      <c r="BE626" s="4"/>
      <c r="BF626" s="4"/>
      <c r="BG626" s="4"/>
      <c r="BH626" s="4"/>
      <c r="BI626" s="4"/>
      <c r="BJ626" s="4"/>
      <c r="BK626" s="4"/>
      <c r="BL626" s="4"/>
      <c r="BM626" s="4"/>
      <c r="BN626" s="4"/>
      <c r="BO626" s="4"/>
      <c r="BP626" s="4"/>
      <c r="BQ626" s="4"/>
      <c r="BR626" s="4"/>
      <c r="BS626" s="4"/>
      <c r="BT626" s="4"/>
      <c r="BU626" s="4"/>
      <c r="BV626" s="4"/>
    </row>
    <row r="627" spans="29:74" ht="13.2"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  <c r="BC627" s="4"/>
      <c r="BD627" s="4"/>
      <c r="BE627" s="4"/>
      <c r="BF627" s="4"/>
      <c r="BG627" s="4"/>
      <c r="BH627" s="4"/>
      <c r="BI627" s="4"/>
      <c r="BJ627" s="4"/>
      <c r="BK627" s="4"/>
      <c r="BL627" s="4"/>
      <c r="BM627" s="4"/>
      <c r="BN627" s="4"/>
      <c r="BO627" s="4"/>
      <c r="BP627" s="4"/>
      <c r="BQ627" s="4"/>
      <c r="BR627" s="4"/>
      <c r="BS627" s="4"/>
      <c r="BT627" s="4"/>
      <c r="BU627" s="4"/>
      <c r="BV627" s="4"/>
    </row>
    <row r="628" spans="29:74" ht="13.2"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  <c r="BC628" s="4"/>
      <c r="BD628" s="4"/>
      <c r="BE628" s="4"/>
      <c r="BF628" s="4"/>
      <c r="BG628" s="4"/>
      <c r="BH628" s="4"/>
      <c r="BI628" s="4"/>
      <c r="BJ628" s="4"/>
      <c r="BK628" s="4"/>
      <c r="BL628" s="4"/>
      <c r="BM628" s="4"/>
      <c r="BN628" s="4"/>
      <c r="BO628" s="4"/>
      <c r="BP628" s="4"/>
      <c r="BQ628" s="4"/>
      <c r="BR628" s="4"/>
      <c r="BS628" s="4"/>
      <c r="BT628" s="4"/>
      <c r="BU628" s="4"/>
      <c r="BV628" s="4"/>
    </row>
    <row r="629" spans="29:74" ht="13.2"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  <c r="BC629" s="4"/>
      <c r="BD629" s="4"/>
      <c r="BE629" s="4"/>
      <c r="BF629" s="4"/>
      <c r="BG629" s="4"/>
      <c r="BH629" s="4"/>
      <c r="BI629" s="4"/>
      <c r="BJ629" s="4"/>
      <c r="BK629" s="4"/>
      <c r="BL629" s="4"/>
      <c r="BM629" s="4"/>
      <c r="BN629" s="4"/>
      <c r="BO629" s="4"/>
      <c r="BP629" s="4"/>
      <c r="BQ629" s="4"/>
      <c r="BR629" s="4"/>
      <c r="BS629" s="4"/>
      <c r="BT629" s="4"/>
      <c r="BU629" s="4"/>
      <c r="BV629" s="4"/>
    </row>
    <row r="630" spans="29:74" ht="13.2"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  <c r="BC630" s="4"/>
      <c r="BD630" s="4"/>
      <c r="BE630" s="4"/>
      <c r="BF630" s="4"/>
      <c r="BG630" s="4"/>
      <c r="BH630" s="4"/>
      <c r="BI630" s="4"/>
      <c r="BJ630" s="4"/>
      <c r="BK630" s="4"/>
      <c r="BL630" s="4"/>
      <c r="BM630" s="4"/>
      <c r="BN630" s="4"/>
      <c r="BO630" s="4"/>
      <c r="BP630" s="4"/>
      <c r="BQ630" s="4"/>
      <c r="BR630" s="4"/>
      <c r="BS630" s="4"/>
      <c r="BT630" s="4"/>
      <c r="BU630" s="4"/>
      <c r="BV630" s="4"/>
    </row>
    <row r="631" spans="29:74" ht="13.2"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  <c r="BC631" s="4"/>
      <c r="BD631" s="4"/>
      <c r="BE631" s="4"/>
      <c r="BF631" s="4"/>
      <c r="BG631" s="4"/>
      <c r="BH631" s="4"/>
      <c r="BI631" s="4"/>
      <c r="BJ631" s="4"/>
      <c r="BK631" s="4"/>
      <c r="BL631" s="4"/>
      <c r="BM631" s="4"/>
      <c r="BN631" s="4"/>
      <c r="BO631" s="4"/>
      <c r="BP631" s="4"/>
      <c r="BQ631" s="4"/>
      <c r="BR631" s="4"/>
      <c r="BS631" s="4"/>
      <c r="BT631" s="4"/>
      <c r="BU631" s="4"/>
      <c r="BV631" s="4"/>
    </row>
    <row r="632" spans="29:74" ht="13.2"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  <c r="BC632" s="4"/>
      <c r="BD632" s="4"/>
      <c r="BE632" s="4"/>
      <c r="BF632" s="4"/>
      <c r="BG632" s="4"/>
      <c r="BH632" s="4"/>
      <c r="BI632" s="4"/>
      <c r="BJ632" s="4"/>
      <c r="BK632" s="4"/>
      <c r="BL632" s="4"/>
      <c r="BM632" s="4"/>
      <c r="BN632" s="4"/>
      <c r="BO632" s="4"/>
      <c r="BP632" s="4"/>
      <c r="BQ632" s="4"/>
      <c r="BR632" s="4"/>
      <c r="BS632" s="4"/>
      <c r="BT632" s="4"/>
      <c r="BU632" s="4"/>
      <c r="BV632" s="4"/>
    </row>
    <row r="633" spans="29:74" ht="13.2"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4"/>
      <c r="BC633" s="4"/>
      <c r="BD633" s="4"/>
      <c r="BE633" s="4"/>
      <c r="BF633" s="4"/>
      <c r="BG633" s="4"/>
      <c r="BH633" s="4"/>
      <c r="BI633" s="4"/>
      <c r="BJ633" s="4"/>
      <c r="BK633" s="4"/>
      <c r="BL633" s="4"/>
      <c r="BM633" s="4"/>
      <c r="BN633" s="4"/>
      <c r="BO633" s="4"/>
      <c r="BP633" s="4"/>
      <c r="BQ633" s="4"/>
      <c r="BR633" s="4"/>
      <c r="BS633" s="4"/>
      <c r="BT633" s="4"/>
      <c r="BU633" s="4"/>
      <c r="BV633" s="4"/>
    </row>
    <row r="634" spans="29:74" ht="13.2"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4"/>
      <c r="BC634" s="4"/>
      <c r="BD634" s="4"/>
      <c r="BE634" s="4"/>
      <c r="BF634" s="4"/>
      <c r="BG634" s="4"/>
      <c r="BH634" s="4"/>
      <c r="BI634" s="4"/>
      <c r="BJ634" s="4"/>
      <c r="BK634" s="4"/>
      <c r="BL634" s="4"/>
      <c r="BM634" s="4"/>
      <c r="BN634" s="4"/>
      <c r="BO634" s="4"/>
      <c r="BP634" s="4"/>
      <c r="BQ634" s="4"/>
      <c r="BR634" s="4"/>
      <c r="BS634" s="4"/>
      <c r="BT634" s="4"/>
      <c r="BU634" s="4"/>
      <c r="BV634" s="4"/>
    </row>
    <row r="635" spans="29:74" ht="13.2"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  <c r="BC635" s="4"/>
      <c r="BD635" s="4"/>
      <c r="BE635" s="4"/>
      <c r="BF635" s="4"/>
      <c r="BG635" s="4"/>
      <c r="BH635" s="4"/>
      <c r="BI635" s="4"/>
      <c r="BJ635" s="4"/>
      <c r="BK635" s="4"/>
      <c r="BL635" s="4"/>
      <c r="BM635" s="4"/>
      <c r="BN635" s="4"/>
      <c r="BO635" s="4"/>
      <c r="BP635" s="4"/>
      <c r="BQ635" s="4"/>
      <c r="BR635" s="4"/>
      <c r="BS635" s="4"/>
      <c r="BT635" s="4"/>
      <c r="BU635" s="4"/>
      <c r="BV635" s="4"/>
    </row>
    <row r="636" spans="29:74" ht="13.2"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  <c r="BC636" s="4"/>
      <c r="BD636" s="4"/>
      <c r="BE636" s="4"/>
      <c r="BF636" s="4"/>
      <c r="BG636" s="4"/>
      <c r="BH636" s="4"/>
      <c r="BI636" s="4"/>
      <c r="BJ636" s="4"/>
      <c r="BK636" s="4"/>
      <c r="BL636" s="4"/>
      <c r="BM636" s="4"/>
      <c r="BN636" s="4"/>
      <c r="BO636" s="4"/>
      <c r="BP636" s="4"/>
      <c r="BQ636" s="4"/>
      <c r="BR636" s="4"/>
      <c r="BS636" s="4"/>
      <c r="BT636" s="4"/>
      <c r="BU636" s="4"/>
      <c r="BV636" s="4"/>
    </row>
    <row r="637" spans="29:74" ht="13.2"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  <c r="BC637" s="4"/>
      <c r="BD637" s="4"/>
      <c r="BE637" s="4"/>
      <c r="BF637" s="4"/>
      <c r="BG637" s="4"/>
      <c r="BH637" s="4"/>
      <c r="BI637" s="4"/>
      <c r="BJ637" s="4"/>
      <c r="BK637" s="4"/>
      <c r="BL637" s="4"/>
      <c r="BM637" s="4"/>
      <c r="BN637" s="4"/>
      <c r="BO637" s="4"/>
      <c r="BP637" s="4"/>
      <c r="BQ637" s="4"/>
      <c r="BR637" s="4"/>
      <c r="BS637" s="4"/>
      <c r="BT637" s="4"/>
      <c r="BU637" s="4"/>
      <c r="BV637" s="4"/>
    </row>
    <row r="638" spans="29:74" ht="13.2"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  <c r="BC638" s="4"/>
      <c r="BD638" s="4"/>
      <c r="BE638" s="4"/>
      <c r="BF638" s="4"/>
      <c r="BG638" s="4"/>
      <c r="BH638" s="4"/>
      <c r="BI638" s="4"/>
      <c r="BJ638" s="4"/>
      <c r="BK638" s="4"/>
      <c r="BL638" s="4"/>
      <c r="BM638" s="4"/>
      <c r="BN638" s="4"/>
      <c r="BO638" s="4"/>
      <c r="BP638" s="4"/>
      <c r="BQ638" s="4"/>
      <c r="BR638" s="4"/>
      <c r="BS638" s="4"/>
      <c r="BT638" s="4"/>
      <c r="BU638" s="4"/>
      <c r="BV638" s="4"/>
    </row>
    <row r="639" spans="29:74" ht="13.2"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  <c r="BC639" s="4"/>
      <c r="BD639" s="4"/>
      <c r="BE639" s="4"/>
      <c r="BF639" s="4"/>
      <c r="BG639" s="4"/>
      <c r="BH639" s="4"/>
      <c r="BI639" s="4"/>
      <c r="BJ639" s="4"/>
      <c r="BK639" s="4"/>
      <c r="BL639" s="4"/>
      <c r="BM639" s="4"/>
      <c r="BN639" s="4"/>
      <c r="BO639" s="4"/>
      <c r="BP639" s="4"/>
      <c r="BQ639" s="4"/>
      <c r="BR639" s="4"/>
      <c r="BS639" s="4"/>
      <c r="BT639" s="4"/>
      <c r="BU639" s="4"/>
      <c r="BV639" s="4"/>
    </row>
    <row r="640" spans="29:74" ht="13.2"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  <c r="BC640" s="4"/>
      <c r="BD640" s="4"/>
      <c r="BE640" s="4"/>
      <c r="BF640" s="4"/>
      <c r="BG640" s="4"/>
      <c r="BH640" s="4"/>
      <c r="BI640" s="4"/>
      <c r="BJ640" s="4"/>
      <c r="BK640" s="4"/>
      <c r="BL640" s="4"/>
      <c r="BM640" s="4"/>
      <c r="BN640" s="4"/>
      <c r="BO640" s="4"/>
      <c r="BP640" s="4"/>
      <c r="BQ640" s="4"/>
      <c r="BR640" s="4"/>
      <c r="BS640" s="4"/>
      <c r="BT640" s="4"/>
      <c r="BU640" s="4"/>
      <c r="BV640" s="4"/>
    </row>
    <row r="641" spans="29:74" ht="13.2"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  <c r="BC641" s="4"/>
      <c r="BD641" s="4"/>
      <c r="BE641" s="4"/>
      <c r="BF641" s="4"/>
      <c r="BG641" s="4"/>
      <c r="BH641" s="4"/>
      <c r="BI641" s="4"/>
      <c r="BJ641" s="4"/>
      <c r="BK641" s="4"/>
      <c r="BL641" s="4"/>
      <c r="BM641" s="4"/>
      <c r="BN641" s="4"/>
      <c r="BO641" s="4"/>
      <c r="BP641" s="4"/>
      <c r="BQ641" s="4"/>
      <c r="BR641" s="4"/>
      <c r="BS641" s="4"/>
      <c r="BT641" s="4"/>
      <c r="BU641" s="4"/>
      <c r="BV641" s="4"/>
    </row>
    <row r="642" spans="29:74" ht="13.2"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  <c r="BC642" s="4"/>
      <c r="BD642" s="4"/>
      <c r="BE642" s="4"/>
      <c r="BF642" s="4"/>
      <c r="BG642" s="4"/>
      <c r="BH642" s="4"/>
      <c r="BI642" s="4"/>
      <c r="BJ642" s="4"/>
      <c r="BK642" s="4"/>
      <c r="BL642" s="4"/>
      <c r="BM642" s="4"/>
      <c r="BN642" s="4"/>
      <c r="BO642" s="4"/>
      <c r="BP642" s="4"/>
      <c r="BQ642" s="4"/>
      <c r="BR642" s="4"/>
      <c r="BS642" s="4"/>
      <c r="BT642" s="4"/>
      <c r="BU642" s="4"/>
      <c r="BV642" s="4"/>
    </row>
    <row r="643" spans="29:74" ht="13.2"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  <c r="BC643" s="4"/>
      <c r="BD643" s="4"/>
      <c r="BE643" s="4"/>
      <c r="BF643" s="4"/>
      <c r="BG643" s="4"/>
      <c r="BH643" s="4"/>
      <c r="BI643" s="4"/>
      <c r="BJ643" s="4"/>
      <c r="BK643" s="4"/>
      <c r="BL643" s="4"/>
      <c r="BM643" s="4"/>
      <c r="BN643" s="4"/>
      <c r="BO643" s="4"/>
      <c r="BP643" s="4"/>
      <c r="BQ643" s="4"/>
      <c r="BR643" s="4"/>
      <c r="BS643" s="4"/>
      <c r="BT643" s="4"/>
      <c r="BU643" s="4"/>
      <c r="BV643" s="4"/>
    </row>
    <row r="644" spans="29:74" ht="13.2"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  <c r="BC644" s="4"/>
      <c r="BD644" s="4"/>
      <c r="BE644" s="4"/>
      <c r="BF644" s="4"/>
      <c r="BG644" s="4"/>
      <c r="BH644" s="4"/>
      <c r="BI644" s="4"/>
      <c r="BJ644" s="4"/>
      <c r="BK644" s="4"/>
      <c r="BL644" s="4"/>
      <c r="BM644" s="4"/>
      <c r="BN644" s="4"/>
      <c r="BO644" s="4"/>
      <c r="BP644" s="4"/>
      <c r="BQ644" s="4"/>
      <c r="BR644" s="4"/>
      <c r="BS644" s="4"/>
      <c r="BT644" s="4"/>
      <c r="BU644" s="4"/>
      <c r="BV644" s="4"/>
    </row>
    <row r="645" spans="29:74" ht="13.2"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  <c r="BC645" s="4"/>
      <c r="BD645" s="4"/>
      <c r="BE645" s="4"/>
      <c r="BF645" s="4"/>
      <c r="BG645" s="4"/>
      <c r="BH645" s="4"/>
      <c r="BI645" s="4"/>
      <c r="BJ645" s="4"/>
      <c r="BK645" s="4"/>
      <c r="BL645" s="4"/>
      <c r="BM645" s="4"/>
      <c r="BN645" s="4"/>
      <c r="BO645" s="4"/>
      <c r="BP645" s="4"/>
      <c r="BQ645" s="4"/>
      <c r="BR645" s="4"/>
      <c r="BS645" s="4"/>
      <c r="BT645" s="4"/>
      <c r="BU645" s="4"/>
      <c r="BV645" s="4"/>
    </row>
    <row r="646" spans="29:74" ht="13.2"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  <c r="BC646" s="4"/>
      <c r="BD646" s="4"/>
      <c r="BE646" s="4"/>
      <c r="BF646" s="4"/>
      <c r="BG646" s="4"/>
      <c r="BH646" s="4"/>
      <c r="BI646" s="4"/>
      <c r="BJ646" s="4"/>
      <c r="BK646" s="4"/>
      <c r="BL646" s="4"/>
      <c r="BM646" s="4"/>
      <c r="BN646" s="4"/>
      <c r="BO646" s="4"/>
      <c r="BP646" s="4"/>
      <c r="BQ646" s="4"/>
      <c r="BR646" s="4"/>
      <c r="BS646" s="4"/>
      <c r="BT646" s="4"/>
      <c r="BU646" s="4"/>
      <c r="BV646" s="4"/>
    </row>
    <row r="647" spans="29:74" ht="13.2"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  <c r="BC647" s="4"/>
      <c r="BD647" s="4"/>
      <c r="BE647" s="4"/>
      <c r="BF647" s="4"/>
      <c r="BG647" s="4"/>
      <c r="BH647" s="4"/>
      <c r="BI647" s="4"/>
      <c r="BJ647" s="4"/>
      <c r="BK647" s="4"/>
      <c r="BL647" s="4"/>
      <c r="BM647" s="4"/>
      <c r="BN647" s="4"/>
      <c r="BO647" s="4"/>
      <c r="BP647" s="4"/>
      <c r="BQ647" s="4"/>
      <c r="BR647" s="4"/>
      <c r="BS647" s="4"/>
      <c r="BT647" s="4"/>
      <c r="BU647" s="4"/>
      <c r="BV647" s="4"/>
    </row>
    <row r="648" spans="29:74" ht="13.2"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  <c r="BC648" s="4"/>
      <c r="BD648" s="4"/>
      <c r="BE648" s="4"/>
      <c r="BF648" s="4"/>
      <c r="BG648" s="4"/>
      <c r="BH648" s="4"/>
      <c r="BI648" s="4"/>
      <c r="BJ648" s="4"/>
      <c r="BK648" s="4"/>
      <c r="BL648" s="4"/>
      <c r="BM648" s="4"/>
      <c r="BN648" s="4"/>
      <c r="BO648" s="4"/>
      <c r="BP648" s="4"/>
      <c r="BQ648" s="4"/>
      <c r="BR648" s="4"/>
      <c r="BS648" s="4"/>
      <c r="BT648" s="4"/>
      <c r="BU648" s="4"/>
      <c r="BV648" s="4"/>
    </row>
    <row r="649" spans="29:74" ht="13.2"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4"/>
      <c r="BC649" s="4"/>
      <c r="BD649" s="4"/>
      <c r="BE649" s="4"/>
      <c r="BF649" s="4"/>
      <c r="BG649" s="4"/>
      <c r="BH649" s="4"/>
      <c r="BI649" s="4"/>
      <c r="BJ649" s="4"/>
      <c r="BK649" s="4"/>
      <c r="BL649" s="4"/>
      <c r="BM649" s="4"/>
      <c r="BN649" s="4"/>
      <c r="BO649" s="4"/>
      <c r="BP649" s="4"/>
      <c r="BQ649" s="4"/>
      <c r="BR649" s="4"/>
      <c r="BS649" s="4"/>
      <c r="BT649" s="4"/>
      <c r="BU649" s="4"/>
      <c r="BV649" s="4"/>
    </row>
    <row r="650" spans="29:74" ht="13.2"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  <c r="BC650" s="4"/>
      <c r="BD650" s="4"/>
      <c r="BE650" s="4"/>
      <c r="BF650" s="4"/>
      <c r="BG650" s="4"/>
      <c r="BH650" s="4"/>
      <c r="BI650" s="4"/>
      <c r="BJ650" s="4"/>
      <c r="BK650" s="4"/>
      <c r="BL650" s="4"/>
      <c r="BM650" s="4"/>
      <c r="BN650" s="4"/>
      <c r="BO650" s="4"/>
      <c r="BP650" s="4"/>
      <c r="BQ650" s="4"/>
      <c r="BR650" s="4"/>
      <c r="BS650" s="4"/>
      <c r="BT650" s="4"/>
      <c r="BU650" s="4"/>
      <c r="BV650" s="4"/>
    </row>
    <row r="651" spans="29:74" ht="13.2"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  <c r="BB651" s="4"/>
      <c r="BC651" s="4"/>
      <c r="BD651" s="4"/>
      <c r="BE651" s="4"/>
      <c r="BF651" s="4"/>
      <c r="BG651" s="4"/>
      <c r="BH651" s="4"/>
      <c r="BI651" s="4"/>
      <c r="BJ651" s="4"/>
      <c r="BK651" s="4"/>
      <c r="BL651" s="4"/>
      <c r="BM651" s="4"/>
      <c r="BN651" s="4"/>
      <c r="BO651" s="4"/>
      <c r="BP651" s="4"/>
      <c r="BQ651" s="4"/>
      <c r="BR651" s="4"/>
      <c r="BS651" s="4"/>
      <c r="BT651" s="4"/>
      <c r="BU651" s="4"/>
      <c r="BV651" s="4"/>
    </row>
    <row r="652" spans="29:74" ht="13.2"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  <c r="BB652" s="4"/>
      <c r="BC652" s="4"/>
      <c r="BD652" s="4"/>
      <c r="BE652" s="4"/>
      <c r="BF652" s="4"/>
      <c r="BG652" s="4"/>
      <c r="BH652" s="4"/>
      <c r="BI652" s="4"/>
      <c r="BJ652" s="4"/>
      <c r="BK652" s="4"/>
      <c r="BL652" s="4"/>
      <c r="BM652" s="4"/>
      <c r="BN652" s="4"/>
      <c r="BO652" s="4"/>
      <c r="BP652" s="4"/>
      <c r="BQ652" s="4"/>
      <c r="BR652" s="4"/>
      <c r="BS652" s="4"/>
      <c r="BT652" s="4"/>
      <c r="BU652" s="4"/>
      <c r="BV652" s="4"/>
    </row>
    <row r="653" spans="29:74" ht="13.2"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  <c r="BB653" s="4"/>
      <c r="BC653" s="4"/>
      <c r="BD653" s="4"/>
      <c r="BE653" s="4"/>
      <c r="BF653" s="4"/>
      <c r="BG653" s="4"/>
      <c r="BH653" s="4"/>
      <c r="BI653" s="4"/>
      <c r="BJ653" s="4"/>
      <c r="BK653" s="4"/>
      <c r="BL653" s="4"/>
      <c r="BM653" s="4"/>
      <c r="BN653" s="4"/>
      <c r="BO653" s="4"/>
      <c r="BP653" s="4"/>
      <c r="BQ653" s="4"/>
      <c r="BR653" s="4"/>
      <c r="BS653" s="4"/>
      <c r="BT653" s="4"/>
      <c r="BU653" s="4"/>
      <c r="BV653" s="4"/>
    </row>
    <row r="654" spans="29:74" ht="13.2"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  <c r="BB654" s="4"/>
      <c r="BC654" s="4"/>
      <c r="BD654" s="4"/>
      <c r="BE654" s="4"/>
      <c r="BF654" s="4"/>
      <c r="BG654" s="4"/>
      <c r="BH654" s="4"/>
      <c r="BI654" s="4"/>
      <c r="BJ654" s="4"/>
      <c r="BK654" s="4"/>
      <c r="BL654" s="4"/>
      <c r="BM654" s="4"/>
      <c r="BN654" s="4"/>
      <c r="BO654" s="4"/>
      <c r="BP654" s="4"/>
      <c r="BQ654" s="4"/>
      <c r="BR654" s="4"/>
      <c r="BS654" s="4"/>
      <c r="BT654" s="4"/>
      <c r="BU654" s="4"/>
      <c r="BV654" s="4"/>
    </row>
    <row r="655" spans="29:74" ht="13.2"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  <c r="BD655" s="4"/>
      <c r="BE655" s="4"/>
      <c r="BF655" s="4"/>
      <c r="BG655" s="4"/>
      <c r="BH655" s="4"/>
      <c r="BI655" s="4"/>
      <c r="BJ655" s="4"/>
      <c r="BK655" s="4"/>
      <c r="BL655" s="4"/>
      <c r="BM655" s="4"/>
      <c r="BN655" s="4"/>
      <c r="BO655" s="4"/>
      <c r="BP655" s="4"/>
      <c r="BQ655" s="4"/>
      <c r="BR655" s="4"/>
      <c r="BS655" s="4"/>
      <c r="BT655" s="4"/>
      <c r="BU655" s="4"/>
      <c r="BV655" s="4"/>
    </row>
    <row r="656" spans="29:74" ht="13.2"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  <c r="BB656" s="4"/>
      <c r="BC656" s="4"/>
      <c r="BD656" s="4"/>
      <c r="BE656" s="4"/>
      <c r="BF656" s="4"/>
      <c r="BG656" s="4"/>
      <c r="BH656" s="4"/>
      <c r="BI656" s="4"/>
      <c r="BJ656" s="4"/>
      <c r="BK656" s="4"/>
      <c r="BL656" s="4"/>
      <c r="BM656" s="4"/>
      <c r="BN656" s="4"/>
      <c r="BO656" s="4"/>
      <c r="BP656" s="4"/>
      <c r="BQ656" s="4"/>
      <c r="BR656" s="4"/>
      <c r="BS656" s="4"/>
      <c r="BT656" s="4"/>
      <c r="BU656" s="4"/>
      <c r="BV656" s="4"/>
    </row>
    <row r="657" spans="29:74" ht="13.2"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  <c r="BC657" s="4"/>
      <c r="BD657" s="4"/>
      <c r="BE657" s="4"/>
      <c r="BF657" s="4"/>
      <c r="BG657" s="4"/>
      <c r="BH657" s="4"/>
      <c r="BI657" s="4"/>
      <c r="BJ657" s="4"/>
      <c r="BK657" s="4"/>
      <c r="BL657" s="4"/>
      <c r="BM657" s="4"/>
      <c r="BN657" s="4"/>
      <c r="BO657" s="4"/>
      <c r="BP657" s="4"/>
      <c r="BQ657" s="4"/>
      <c r="BR657" s="4"/>
      <c r="BS657" s="4"/>
      <c r="BT657" s="4"/>
      <c r="BU657" s="4"/>
      <c r="BV657" s="4"/>
    </row>
    <row r="658" spans="29:74" ht="13.2"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  <c r="BC658" s="4"/>
      <c r="BD658" s="4"/>
      <c r="BE658" s="4"/>
      <c r="BF658" s="4"/>
      <c r="BG658" s="4"/>
      <c r="BH658" s="4"/>
      <c r="BI658" s="4"/>
      <c r="BJ658" s="4"/>
      <c r="BK658" s="4"/>
      <c r="BL658" s="4"/>
      <c r="BM658" s="4"/>
      <c r="BN658" s="4"/>
      <c r="BO658" s="4"/>
      <c r="BP658" s="4"/>
      <c r="BQ658" s="4"/>
      <c r="BR658" s="4"/>
      <c r="BS658" s="4"/>
      <c r="BT658" s="4"/>
      <c r="BU658" s="4"/>
      <c r="BV658" s="4"/>
    </row>
    <row r="659" spans="29:74" ht="13.2"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  <c r="BB659" s="4"/>
      <c r="BC659" s="4"/>
      <c r="BD659" s="4"/>
      <c r="BE659" s="4"/>
      <c r="BF659" s="4"/>
      <c r="BG659" s="4"/>
      <c r="BH659" s="4"/>
      <c r="BI659" s="4"/>
      <c r="BJ659" s="4"/>
      <c r="BK659" s="4"/>
      <c r="BL659" s="4"/>
      <c r="BM659" s="4"/>
      <c r="BN659" s="4"/>
      <c r="BO659" s="4"/>
      <c r="BP659" s="4"/>
      <c r="BQ659" s="4"/>
      <c r="BR659" s="4"/>
      <c r="BS659" s="4"/>
      <c r="BT659" s="4"/>
      <c r="BU659" s="4"/>
      <c r="BV659" s="4"/>
    </row>
    <row r="660" spans="29:74" ht="13.2"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  <c r="BC660" s="4"/>
      <c r="BD660" s="4"/>
      <c r="BE660" s="4"/>
      <c r="BF660" s="4"/>
      <c r="BG660" s="4"/>
      <c r="BH660" s="4"/>
      <c r="BI660" s="4"/>
      <c r="BJ660" s="4"/>
      <c r="BK660" s="4"/>
      <c r="BL660" s="4"/>
      <c r="BM660" s="4"/>
      <c r="BN660" s="4"/>
      <c r="BO660" s="4"/>
      <c r="BP660" s="4"/>
      <c r="BQ660" s="4"/>
      <c r="BR660" s="4"/>
      <c r="BS660" s="4"/>
      <c r="BT660" s="4"/>
      <c r="BU660" s="4"/>
      <c r="BV660" s="4"/>
    </row>
    <row r="661" spans="29:74" ht="13.2"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  <c r="BC661" s="4"/>
      <c r="BD661" s="4"/>
      <c r="BE661" s="4"/>
      <c r="BF661" s="4"/>
      <c r="BG661" s="4"/>
      <c r="BH661" s="4"/>
      <c r="BI661" s="4"/>
      <c r="BJ661" s="4"/>
      <c r="BK661" s="4"/>
      <c r="BL661" s="4"/>
      <c r="BM661" s="4"/>
      <c r="BN661" s="4"/>
      <c r="BO661" s="4"/>
      <c r="BP661" s="4"/>
      <c r="BQ661" s="4"/>
      <c r="BR661" s="4"/>
      <c r="BS661" s="4"/>
      <c r="BT661" s="4"/>
      <c r="BU661" s="4"/>
      <c r="BV661" s="4"/>
    </row>
    <row r="662" spans="29:74" ht="13.2"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  <c r="BB662" s="4"/>
      <c r="BC662" s="4"/>
      <c r="BD662" s="4"/>
      <c r="BE662" s="4"/>
      <c r="BF662" s="4"/>
      <c r="BG662" s="4"/>
      <c r="BH662" s="4"/>
      <c r="BI662" s="4"/>
      <c r="BJ662" s="4"/>
      <c r="BK662" s="4"/>
      <c r="BL662" s="4"/>
      <c r="BM662" s="4"/>
      <c r="BN662" s="4"/>
      <c r="BO662" s="4"/>
      <c r="BP662" s="4"/>
      <c r="BQ662" s="4"/>
      <c r="BR662" s="4"/>
      <c r="BS662" s="4"/>
      <c r="BT662" s="4"/>
      <c r="BU662" s="4"/>
      <c r="BV662" s="4"/>
    </row>
    <row r="663" spans="29:74" ht="13.2"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  <c r="BB663" s="4"/>
      <c r="BC663" s="4"/>
      <c r="BD663" s="4"/>
      <c r="BE663" s="4"/>
      <c r="BF663" s="4"/>
      <c r="BG663" s="4"/>
      <c r="BH663" s="4"/>
      <c r="BI663" s="4"/>
      <c r="BJ663" s="4"/>
      <c r="BK663" s="4"/>
      <c r="BL663" s="4"/>
      <c r="BM663" s="4"/>
      <c r="BN663" s="4"/>
      <c r="BO663" s="4"/>
      <c r="BP663" s="4"/>
      <c r="BQ663" s="4"/>
      <c r="BR663" s="4"/>
      <c r="BS663" s="4"/>
      <c r="BT663" s="4"/>
      <c r="BU663" s="4"/>
      <c r="BV663" s="4"/>
    </row>
    <row r="664" spans="29:74" ht="13.2"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  <c r="BC664" s="4"/>
      <c r="BD664" s="4"/>
      <c r="BE664" s="4"/>
      <c r="BF664" s="4"/>
      <c r="BG664" s="4"/>
      <c r="BH664" s="4"/>
      <c r="BI664" s="4"/>
      <c r="BJ664" s="4"/>
      <c r="BK664" s="4"/>
      <c r="BL664" s="4"/>
      <c r="BM664" s="4"/>
      <c r="BN664" s="4"/>
      <c r="BO664" s="4"/>
      <c r="BP664" s="4"/>
      <c r="BQ664" s="4"/>
      <c r="BR664" s="4"/>
      <c r="BS664" s="4"/>
      <c r="BT664" s="4"/>
      <c r="BU664" s="4"/>
      <c r="BV664" s="4"/>
    </row>
    <row r="665" spans="29:74" ht="13.2"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  <c r="BC665" s="4"/>
      <c r="BD665" s="4"/>
      <c r="BE665" s="4"/>
      <c r="BF665" s="4"/>
      <c r="BG665" s="4"/>
      <c r="BH665" s="4"/>
      <c r="BI665" s="4"/>
      <c r="BJ665" s="4"/>
      <c r="BK665" s="4"/>
      <c r="BL665" s="4"/>
      <c r="BM665" s="4"/>
      <c r="BN665" s="4"/>
      <c r="BO665" s="4"/>
      <c r="BP665" s="4"/>
      <c r="BQ665" s="4"/>
      <c r="BR665" s="4"/>
      <c r="BS665" s="4"/>
      <c r="BT665" s="4"/>
      <c r="BU665" s="4"/>
      <c r="BV665" s="4"/>
    </row>
    <row r="666" spans="29:74" ht="13.2"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  <c r="BB666" s="4"/>
      <c r="BC666" s="4"/>
      <c r="BD666" s="4"/>
      <c r="BE666" s="4"/>
      <c r="BF666" s="4"/>
      <c r="BG666" s="4"/>
      <c r="BH666" s="4"/>
      <c r="BI666" s="4"/>
      <c r="BJ666" s="4"/>
      <c r="BK666" s="4"/>
      <c r="BL666" s="4"/>
      <c r="BM666" s="4"/>
      <c r="BN666" s="4"/>
      <c r="BO666" s="4"/>
      <c r="BP666" s="4"/>
      <c r="BQ666" s="4"/>
      <c r="BR666" s="4"/>
      <c r="BS666" s="4"/>
      <c r="BT666" s="4"/>
      <c r="BU666" s="4"/>
      <c r="BV666" s="4"/>
    </row>
    <row r="667" spans="29:74" ht="13.2"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  <c r="BB667" s="4"/>
      <c r="BC667" s="4"/>
      <c r="BD667" s="4"/>
      <c r="BE667" s="4"/>
      <c r="BF667" s="4"/>
      <c r="BG667" s="4"/>
      <c r="BH667" s="4"/>
      <c r="BI667" s="4"/>
      <c r="BJ667" s="4"/>
      <c r="BK667" s="4"/>
      <c r="BL667" s="4"/>
      <c r="BM667" s="4"/>
      <c r="BN667" s="4"/>
      <c r="BO667" s="4"/>
      <c r="BP667" s="4"/>
      <c r="BQ667" s="4"/>
      <c r="BR667" s="4"/>
      <c r="BS667" s="4"/>
      <c r="BT667" s="4"/>
      <c r="BU667" s="4"/>
      <c r="BV667" s="4"/>
    </row>
    <row r="668" spans="29:74" ht="13.2"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  <c r="BC668" s="4"/>
      <c r="BD668" s="4"/>
      <c r="BE668" s="4"/>
      <c r="BF668" s="4"/>
      <c r="BG668" s="4"/>
      <c r="BH668" s="4"/>
      <c r="BI668" s="4"/>
      <c r="BJ668" s="4"/>
      <c r="BK668" s="4"/>
      <c r="BL668" s="4"/>
      <c r="BM668" s="4"/>
      <c r="BN668" s="4"/>
      <c r="BO668" s="4"/>
      <c r="BP668" s="4"/>
      <c r="BQ668" s="4"/>
      <c r="BR668" s="4"/>
      <c r="BS668" s="4"/>
      <c r="BT668" s="4"/>
      <c r="BU668" s="4"/>
      <c r="BV668" s="4"/>
    </row>
    <row r="669" spans="29:74" ht="13.2"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  <c r="BB669" s="4"/>
      <c r="BC669" s="4"/>
      <c r="BD669" s="4"/>
      <c r="BE669" s="4"/>
      <c r="BF669" s="4"/>
      <c r="BG669" s="4"/>
      <c r="BH669" s="4"/>
      <c r="BI669" s="4"/>
      <c r="BJ669" s="4"/>
      <c r="BK669" s="4"/>
      <c r="BL669" s="4"/>
      <c r="BM669" s="4"/>
      <c r="BN669" s="4"/>
      <c r="BO669" s="4"/>
      <c r="BP669" s="4"/>
      <c r="BQ669" s="4"/>
      <c r="BR669" s="4"/>
      <c r="BS669" s="4"/>
      <c r="BT669" s="4"/>
      <c r="BU669" s="4"/>
      <c r="BV669" s="4"/>
    </row>
    <row r="670" spans="29:74" ht="13.2"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  <c r="BC670" s="4"/>
      <c r="BD670" s="4"/>
      <c r="BE670" s="4"/>
      <c r="BF670" s="4"/>
      <c r="BG670" s="4"/>
      <c r="BH670" s="4"/>
      <c r="BI670" s="4"/>
      <c r="BJ670" s="4"/>
      <c r="BK670" s="4"/>
      <c r="BL670" s="4"/>
      <c r="BM670" s="4"/>
      <c r="BN670" s="4"/>
      <c r="BO670" s="4"/>
      <c r="BP670" s="4"/>
      <c r="BQ670" s="4"/>
      <c r="BR670" s="4"/>
      <c r="BS670" s="4"/>
      <c r="BT670" s="4"/>
      <c r="BU670" s="4"/>
      <c r="BV670" s="4"/>
    </row>
    <row r="671" spans="29:74" ht="13.2"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  <c r="BC671" s="4"/>
      <c r="BD671" s="4"/>
      <c r="BE671" s="4"/>
      <c r="BF671" s="4"/>
      <c r="BG671" s="4"/>
      <c r="BH671" s="4"/>
      <c r="BI671" s="4"/>
      <c r="BJ671" s="4"/>
      <c r="BK671" s="4"/>
      <c r="BL671" s="4"/>
      <c r="BM671" s="4"/>
      <c r="BN671" s="4"/>
      <c r="BO671" s="4"/>
      <c r="BP671" s="4"/>
      <c r="BQ671" s="4"/>
      <c r="BR671" s="4"/>
      <c r="BS671" s="4"/>
      <c r="BT671" s="4"/>
      <c r="BU671" s="4"/>
      <c r="BV671" s="4"/>
    </row>
    <row r="672" spans="29:74" ht="13.2"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  <c r="BC672" s="4"/>
      <c r="BD672" s="4"/>
      <c r="BE672" s="4"/>
      <c r="BF672" s="4"/>
      <c r="BG672" s="4"/>
      <c r="BH672" s="4"/>
      <c r="BI672" s="4"/>
      <c r="BJ672" s="4"/>
      <c r="BK672" s="4"/>
      <c r="BL672" s="4"/>
      <c r="BM672" s="4"/>
      <c r="BN672" s="4"/>
      <c r="BO672" s="4"/>
      <c r="BP672" s="4"/>
      <c r="BQ672" s="4"/>
      <c r="BR672" s="4"/>
      <c r="BS672" s="4"/>
      <c r="BT672" s="4"/>
      <c r="BU672" s="4"/>
      <c r="BV672" s="4"/>
    </row>
    <row r="673" spans="29:74" ht="13.2"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  <c r="BB673" s="4"/>
      <c r="BC673" s="4"/>
      <c r="BD673" s="4"/>
      <c r="BE673" s="4"/>
      <c r="BF673" s="4"/>
      <c r="BG673" s="4"/>
      <c r="BH673" s="4"/>
      <c r="BI673" s="4"/>
      <c r="BJ673" s="4"/>
      <c r="BK673" s="4"/>
      <c r="BL673" s="4"/>
      <c r="BM673" s="4"/>
      <c r="BN673" s="4"/>
      <c r="BO673" s="4"/>
      <c r="BP673" s="4"/>
      <c r="BQ673" s="4"/>
      <c r="BR673" s="4"/>
      <c r="BS673" s="4"/>
      <c r="BT673" s="4"/>
      <c r="BU673" s="4"/>
      <c r="BV673" s="4"/>
    </row>
    <row r="674" spans="29:74" ht="13.2"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  <c r="BC674" s="4"/>
      <c r="BD674" s="4"/>
      <c r="BE674" s="4"/>
      <c r="BF674" s="4"/>
      <c r="BG674" s="4"/>
      <c r="BH674" s="4"/>
      <c r="BI674" s="4"/>
      <c r="BJ674" s="4"/>
      <c r="BK674" s="4"/>
      <c r="BL674" s="4"/>
      <c r="BM674" s="4"/>
      <c r="BN674" s="4"/>
      <c r="BO674" s="4"/>
      <c r="BP674" s="4"/>
      <c r="BQ674" s="4"/>
      <c r="BR674" s="4"/>
      <c r="BS674" s="4"/>
      <c r="BT674" s="4"/>
      <c r="BU674" s="4"/>
      <c r="BV674" s="4"/>
    </row>
    <row r="675" spans="29:74" ht="13.2"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  <c r="BB675" s="4"/>
      <c r="BC675" s="4"/>
      <c r="BD675" s="4"/>
      <c r="BE675" s="4"/>
      <c r="BF675" s="4"/>
      <c r="BG675" s="4"/>
      <c r="BH675" s="4"/>
      <c r="BI675" s="4"/>
      <c r="BJ675" s="4"/>
      <c r="BK675" s="4"/>
      <c r="BL675" s="4"/>
      <c r="BM675" s="4"/>
      <c r="BN675" s="4"/>
      <c r="BO675" s="4"/>
      <c r="BP675" s="4"/>
      <c r="BQ675" s="4"/>
      <c r="BR675" s="4"/>
      <c r="BS675" s="4"/>
      <c r="BT675" s="4"/>
      <c r="BU675" s="4"/>
      <c r="BV675" s="4"/>
    </row>
    <row r="676" spans="29:74" ht="13.2"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  <c r="BB676" s="4"/>
      <c r="BC676" s="4"/>
      <c r="BD676" s="4"/>
      <c r="BE676" s="4"/>
      <c r="BF676" s="4"/>
      <c r="BG676" s="4"/>
      <c r="BH676" s="4"/>
      <c r="BI676" s="4"/>
      <c r="BJ676" s="4"/>
      <c r="BK676" s="4"/>
      <c r="BL676" s="4"/>
      <c r="BM676" s="4"/>
      <c r="BN676" s="4"/>
      <c r="BO676" s="4"/>
      <c r="BP676" s="4"/>
      <c r="BQ676" s="4"/>
      <c r="BR676" s="4"/>
      <c r="BS676" s="4"/>
      <c r="BT676" s="4"/>
      <c r="BU676" s="4"/>
      <c r="BV676" s="4"/>
    </row>
    <row r="677" spans="29:74" ht="13.2"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  <c r="BC677" s="4"/>
      <c r="BD677" s="4"/>
      <c r="BE677" s="4"/>
      <c r="BF677" s="4"/>
      <c r="BG677" s="4"/>
      <c r="BH677" s="4"/>
      <c r="BI677" s="4"/>
      <c r="BJ677" s="4"/>
      <c r="BK677" s="4"/>
      <c r="BL677" s="4"/>
      <c r="BM677" s="4"/>
      <c r="BN677" s="4"/>
      <c r="BO677" s="4"/>
      <c r="BP677" s="4"/>
      <c r="BQ677" s="4"/>
      <c r="BR677" s="4"/>
      <c r="BS677" s="4"/>
      <c r="BT677" s="4"/>
      <c r="BU677" s="4"/>
      <c r="BV677" s="4"/>
    </row>
    <row r="678" spans="29:74" ht="13.2"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  <c r="BC678" s="4"/>
      <c r="BD678" s="4"/>
      <c r="BE678" s="4"/>
      <c r="BF678" s="4"/>
      <c r="BG678" s="4"/>
      <c r="BH678" s="4"/>
      <c r="BI678" s="4"/>
      <c r="BJ678" s="4"/>
      <c r="BK678" s="4"/>
      <c r="BL678" s="4"/>
      <c r="BM678" s="4"/>
      <c r="BN678" s="4"/>
      <c r="BO678" s="4"/>
      <c r="BP678" s="4"/>
      <c r="BQ678" s="4"/>
      <c r="BR678" s="4"/>
      <c r="BS678" s="4"/>
      <c r="BT678" s="4"/>
      <c r="BU678" s="4"/>
      <c r="BV678" s="4"/>
    </row>
    <row r="679" spans="29:74" ht="13.2"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  <c r="BB679" s="4"/>
      <c r="BC679" s="4"/>
      <c r="BD679" s="4"/>
      <c r="BE679" s="4"/>
      <c r="BF679" s="4"/>
      <c r="BG679" s="4"/>
      <c r="BH679" s="4"/>
      <c r="BI679" s="4"/>
      <c r="BJ679" s="4"/>
      <c r="BK679" s="4"/>
      <c r="BL679" s="4"/>
      <c r="BM679" s="4"/>
      <c r="BN679" s="4"/>
      <c r="BO679" s="4"/>
      <c r="BP679" s="4"/>
      <c r="BQ679" s="4"/>
      <c r="BR679" s="4"/>
      <c r="BS679" s="4"/>
      <c r="BT679" s="4"/>
      <c r="BU679" s="4"/>
      <c r="BV679" s="4"/>
    </row>
    <row r="680" spans="29:74" ht="13.2"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  <c r="BC680" s="4"/>
      <c r="BD680" s="4"/>
      <c r="BE680" s="4"/>
      <c r="BF680" s="4"/>
      <c r="BG680" s="4"/>
      <c r="BH680" s="4"/>
      <c r="BI680" s="4"/>
      <c r="BJ680" s="4"/>
      <c r="BK680" s="4"/>
      <c r="BL680" s="4"/>
      <c r="BM680" s="4"/>
      <c r="BN680" s="4"/>
      <c r="BO680" s="4"/>
      <c r="BP680" s="4"/>
      <c r="BQ680" s="4"/>
      <c r="BR680" s="4"/>
      <c r="BS680" s="4"/>
      <c r="BT680" s="4"/>
      <c r="BU680" s="4"/>
      <c r="BV680" s="4"/>
    </row>
    <row r="681" spans="29:74" ht="13.2"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  <c r="BB681" s="4"/>
      <c r="BC681" s="4"/>
      <c r="BD681" s="4"/>
      <c r="BE681" s="4"/>
      <c r="BF681" s="4"/>
      <c r="BG681" s="4"/>
      <c r="BH681" s="4"/>
      <c r="BI681" s="4"/>
      <c r="BJ681" s="4"/>
      <c r="BK681" s="4"/>
      <c r="BL681" s="4"/>
      <c r="BM681" s="4"/>
      <c r="BN681" s="4"/>
      <c r="BO681" s="4"/>
      <c r="BP681" s="4"/>
      <c r="BQ681" s="4"/>
      <c r="BR681" s="4"/>
      <c r="BS681" s="4"/>
      <c r="BT681" s="4"/>
      <c r="BU681" s="4"/>
      <c r="BV681" s="4"/>
    </row>
    <row r="682" spans="29:74" ht="13.2"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  <c r="BC682" s="4"/>
      <c r="BD682" s="4"/>
      <c r="BE682" s="4"/>
      <c r="BF682" s="4"/>
      <c r="BG682" s="4"/>
      <c r="BH682" s="4"/>
      <c r="BI682" s="4"/>
      <c r="BJ682" s="4"/>
      <c r="BK682" s="4"/>
      <c r="BL682" s="4"/>
      <c r="BM682" s="4"/>
      <c r="BN682" s="4"/>
      <c r="BO682" s="4"/>
      <c r="BP682" s="4"/>
      <c r="BQ682" s="4"/>
      <c r="BR682" s="4"/>
      <c r="BS682" s="4"/>
      <c r="BT682" s="4"/>
      <c r="BU682" s="4"/>
      <c r="BV682" s="4"/>
    </row>
    <row r="683" spans="29:74" ht="13.2"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  <c r="BB683" s="4"/>
      <c r="BC683" s="4"/>
      <c r="BD683" s="4"/>
      <c r="BE683" s="4"/>
      <c r="BF683" s="4"/>
      <c r="BG683" s="4"/>
      <c r="BH683" s="4"/>
      <c r="BI683" s="4"/>
      <c r="BJ683" s="4"/>
      <c r="BK683" s="4"/>
      <c r="BL683" s="4"/>
      <c r="BM683" s="4"/>
      <c r="BN683" s="4"/>
      <c r="BO683" s="4"/>
      <c r="BP683" s="4"/>
      <c r="BQ683" s="4"/>
      <c r="BR683" s="4"/>
      <c r="BS683" s="4"/>
      <c r="BT683" s="4"/>
      <c r="BU683" s="4"/>
      <c r="BV683" s="4"/>
    </row>
    <row r="684" spans="29:74" ht="13.2"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  <c r="BB684" s="4"/>
      <c r="BC684" s="4"/>
      <c r="BD684" s="4"/>
      <c r="BE684" s="4"/>
      <c r="BF684" s="4"/>
      <c r="BG684" s="4"/>
      <c r="BH684" s="4"/>
      <c r="BI684" s="4"/>
      <c r="BJ684" s="4"/>
      <c r="BK684" s="4"/>
      <c r="BL684" s="4"/>
      <c r="BM684" s="4"/>
      <c r="BN684" s="4"/>
      <c r="BO684" s="4"/>
      <c r="BP684" s="4"/>
      <c r="BQ684" s="4"/>
      <c r="BR684" s="4"/>
      <c r="BS684" s="4"/>
      <c r="BT684" s="4"/>
      <c r="BU684" s="4"/>
      <c r="BV684" s="4"/>
    </row>
    <row r="685" spans="29:74" ht="13.2"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  <c r="BC685" s="4"/>
      <c r="BD685" s="4"/>
      <c r="BE685" s="4"/>
      <c r="BF685" s="4"/>
      <c r="BG685" s="4"/>
      <c r="BH685" s="4"/>
      <c r="BI685" s="4"/>
      <c r="BJ685" s="4"/>
      <c r="BK685" s="4"/>
      <c r="BL685" s="4"/>
      <c r="BM685" s="4"/>
      <c r="BN685" s="4"/>
      <c r="BO685" s="4"/>
      <c r="BP685" s="4"/>
      <c r="BQ685" s="4"/>
      <c r="BR685" s="4"/>
      <c r="BS685" s="4"/>
      <c r="BT685" s="4"/>
      <c r="BU685" s="4"/>
      <c r="BV685" s="4"/>
    </row>
    <row r="686" spans="29:74" ht="13.2"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  <c r="BE686" s="4"/>
      <c r="BF686" s="4"/>
      <c r="BG686" s="4"/>
      <c r="BH686" s="4"/>
      <c r="BI686" s="4"/>
      <c r="BJ686" s="4"/>
      <c r="BK686" s="4"/>
      <c r="BL686" s="4"/>
      <c r="BM686" s="4"/>
      <c r="BN686" s="4"/>
      <c r="BO686" s="4"/>
      <c r="BP686" s="4"/>
      <c r="BQ686" s="4"/>
      <c r="BR686" s="4"/>
      <c r="BS686" s="4"/>
      <c r="BT686" s="4"/>
      <c r="BU686" s="4"/>
      <c r="BV686" s="4"/>
    </row>
    <row r="687" spans="29:74" ht="13.2"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  <c r="BC687" s="4"/>
      <c r="BD687" s="4"/>
      <c r="BE687" s="4"/>
      <c r="BF687" s="4"/>
      <c r="BG687" s="4"/>
      <c r="BH687" s="4"/>
      <c r="BI687" s="4"/>
      <c r="BJ687" s="4"/>
      <c r="BK687" s="4"/>
      <c r="BL687" s="4"/>
      <c r="BM687" s="4"/>
      <c r="BN687" s="4"/>
      <c r="BO687" s="4"/>
      <c r="BP687" s="4"/>
      <c r="BQ687" s="4"/>
      <c r="BR687" s="4"/>
      <c r="BS687" s="4"/>
      <c r="BT687" s="4"/>
      <c r="BU687" s="4"/>
      <c r="BV687" s="4"/>
    </row>
    <row r="688" spans="29:74" ht="13.2"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  <c r="BB688" s="4"/>
      <c r="BC688" s="4"/>
      <c r="BD688" s="4"/>
      <c r="BE688" s="4"/>
      <c r="BF688" s="4"/>
      <c r="BG688" s="4"/>
      <c r="BH688" s="4"/>
      <c r="BI688" s="4"/>
      <c r="BJ688" s="4"/>
      <c r="BK688" s="4"/>
      <c r="BL688" s="4"/>
      <c r="BM688" s="4"/>
      <c r="BN688" s="4"/>
      <c r="BO688" s="4"/>
      <c r="BP688" s="4"/>
      <c r="BQ688" s="4"/>
      <c r="BR688" s="4"/>
      <c r="BS688" s="4"/>
      <c r="BT688" s="4"/>
      <c r="BU688" s="4"/>
      <c r="BV688" s="4"/>
    </row>
    <row r="689" spans="29:74" ht="13.2"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  <c r="BB689" s="4"/>
      <c r="BC689" s="4"/>
      <c r="BD689" s="4"/>
      <c r="BE689" s="4"/>
      <c r="BF689" s="4"/>
      <c r="BG689" s="4"/>
      <c r="BH689" s="4"/>
      <c r="BI689" s="4"/>
      <c r="BJ689" s="4"/>
      <c r="BK689" s="4"/>
      <c r="BL689" s="4"/>
      <c r="BM689" s="4"/>
      <c r="BN689" s="4"/>
      <c r="BO689" s="4"/>
      <c r="BP689" s="4"/>
      <c r="BQ689" s="4"/>
      <c r="BR689" s="4"/>
      <c r="BS689" s="4"/>
      <c r="BT689" s="4"/>
      <c r="BU689" s="4"/>
      <c r="BV689" s="4"/>
    </row>
    <row r="690" spans="29:74" ht="13.2"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  <c r="BC690" s="4"/>
      <c r="BD690" s="4"/>
      <c r="BE690" s="4"/>
      <c r="BF690" s="4"/>
      <c r="BG690" s="4"/>
      <c r="BH690" s="4"/>
      <c r="BI690" s="4"/>
      <c r="BJ690" s="4"/>
      <c r="BK690" s="4"/>
      <c r="BL690" s="4"/>
      <c r="BM690" s="4"/>
      <c r="BN690" s="4"/>
      <c r="BO690" s="4"/>
      <c r="BP690" s="4"/>
      <c r="BQ690" s="4"/>
      <c r="BR690" s="4"/>
      <c r="BS690" s="4"/>
      <c r="BT690" s="4"/>
      <c r="BU690" s="4"/>
      <c r="BV690" s="4"/>
    </row>
    <row r="691" spans="29:74" ht="13.2"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  <c r="BC691" s="4"/>
      <c r="BD691" s="4"/>
      <c r="BE691" s="4"/>
      <c r="BF691" s="4"/>
      <c r="BG691" s="4"/>
      <c r="BH691" s="4"/>
      <c r="BI691" s="4"/>
      <c r="BJ691" s="4"/>
      <c r="BK691" s="4"/>
      <c r="BL691" s="4"/>
      <c r="BM691" s="4"/>
      <c r="BN691" s="4"/>
      <c r="BO691" s="4"/>
      <c r="BP691" s="4"/>
      <c r="BQ691" s="4"/>
      <c r="BR691" s="4"/>
      <c r="BS691" s="4"/>
      <c r="BT691" s="4"/>
      <c r="BU691" s="4"/>
      <c r="BV691" s="4"/>
    </row>
    <row r="692" spans="29:74" ht="13.2"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  <c r="BC692" s="4"/>
      <c r="BD692" s="4"/>
      <c r="BE692" s="4"/>
      <c r="BF692" s="4"/>
      <c r="BG692" s="4"/>
      <c r="BH692" s="4"/>
      <c r="BI692" s="4"/>
      <c r="BJ692" s="4"/>
      <c r="BK692" s="4"/>
      <c r="BL692" s="4"/>
      <c r="BM692" s="4"/>
      <c r="BN692" s="4"/>
      <c r="BO692" s="4"/>
      <c r="BP692" s="4"/>
      <c r="BQ692" s="4"/>
      <c r="BR692" s="4"/>
      <c r="BS692" s="4"/>
      <c r="BT692" s="4"/>
      <c r="BU692" s="4"/>
      <c r="BV692" s="4"/>
    </row>
    <row r="693" spans="29:74" ht="13.2"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  <c r="BC693" s="4"/>
      <c r="BD693" s="4"/>
      <c r="BE693" s="4"/>
      <c r="BF693" s="4"/>
      <c r="BG693" s="4"/>
      <c r="BH693" s="4"/>
      <c r="BI693" s="4"/>
      <c r="BJ693" s="4"/>
      <c r="BK693" s="4"/>
      <c r="BL693" s="4"/>
      <c r="BM693" s="4"/>
      <c r="BN693" s="4"/>
      <c r="BO693" s="4"/>
      <c r="BP693" s="4"/>
      <c r="BQ693" s="4"/>
      <c r="BR693" s="4"/>
      <c r="BS693" s="4"/>
      <c r="BT693" s="4"/>
      <c r="BU693" s="4"/>
      <c r="BV693" s="4"/>
    </row>
    <row r="694" spans="29:74" ht="13.2"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  <c r="BB694" s="4"/>
      <c r="BC694" s="4"/>
      <c r="BD694" s="4"/>
      <c r="BE694" s="4"/>
      <c r="BF694" s="4"/>
      <c r="BG694" s="4"/>
      <c r="BH694" s="4"/>
      <c r="BI694" s="4"/>
      <c r="BJ694" s="4"/>
      <c r="BK694" s="4"/>
      <c r="BL694" s="4"/>
      <c r="BM694" s="4"/>
      <c r="BN694" s="4"/>
      <c r="BO694" s="4"/>
      <c r="BP694" s="4"/>
      <c r="BQ694" s="4"/>
      <c r="BR694" s="4"/>
      <c r="BS694" s="4"/>
      <c r="BT694" s="4"/>
      <c r="BU694" s="4"/>
      <c r="BV694" s="4"/>
    </row>
    <row r="695" spans="29:74" ht="13.2"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  <c r="BB695" s="4"/>
      <c r="BC695" s="4"/>
      <c r="BD695" s="4"/>
      <c r="BE695" s="4"/>
      <c r="BF695" s="4"/>
      <c r="BG695" s="4"/>
      <c r="BH695" s="4"/>
      <c r="BI695" s="4"/>
      <c r="BJ695" s="4"/>
      <c r="BK695" s="4"/>
      <c r="BL695" s="4"/>
      <c r="BM695" s="4"/>
      <c r="BN695" s="4"/>
      <c r="BO695" s="4"/>
      <c r="BP695" s="4"/>
      <c r="BQ695" s="4"/>
      <c r="BR695" s="4"/>
      <c r="BS695" s="4"/>
      <c r="BT695" s="4"/>
      <c r="BU695" s="4"/>
      <c r="BV695" s="4"/>
    </row>
    <row r="696" spans="29:74" ht="13.2"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  <c r="BK696" s="4"/>
      <c r="BL696" s="4"/>
      <c r="BM696" s="4"/>
      <c r="BN696" s="4"/>
      <c r="BO696" s="4"/>
      <c r="BP696" s="4"/>
      <c r="BQ696" s="4"/>
      <c r="BR696" s="4"/>
      <c r="BS696" s="4"/>
      <c r="BT696" s="4"/>
      <c r="BU696" s="4"/>
      <c r="BV696" s="4"/>
    </row>
    <row r="697" spans="29:74" ht="13.2"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  <c r="BK697" s="4"/>
      <c r="BL697" s="4"/>
      <c r="BM697" s="4"/>
      <c r="BN697" s="4"/>
      <c r="BO697" s="4"/>
      <c r="BP697" s="4"/>
      <c r="BQ697" s="4"/>
      <c r="BR697" s="4"/>
      <c r="BS697" s="4"/>
      <c r="BT697" s="4"/>
      <c r="BU697" s="4"/>
      <c r="BV697" s="4"/>
    </row>
    <row r="698" spans="29:74" ht="13.2"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  <c r="BK698" s="4"/>
      <c r="BL698" s="4"/>
      <c r="BM698" s="4"/>
      <c r="BN698" s="4"/>
      <c r="BO698" s="4"/>
      <c r="BP698" s="4"/>
      <c r="BQ698" s="4"/>
      <c r="BR698" s="4"/>
      <c r="BS698" s="4"/>
      <c r="BT698" s="4"/>
      <c r="BU698" s="4"/>
      <c r="BV698" s="4"/>
    </row>
    <row r="699" spans="29:74" ht="13.2"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  <c r="BK699" s="4"/>
      <c r="BL699" s="4"/>
      <c r="BM699" s="4"/>
      <c r="BN699" s="4"/>
      <c r="BO699" s="4"/>
      <c r="BP699" s="4"/>
      <c r="BQ699" s="4"/>
      <c r="BR699" s="4"/>
      <c r="BS699" s="4"/>
      <c r="BT699" s="4"/>
      <c r="BU699" s="4"/>
      <c r="BV699" s="4"/>
    </row>
    <row r="700" spans="29:74" ht="13.2"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  <c r="BK700" s="4"/>
      <c r="BL700" s="4"/>
      <c r="BM700" s="4"/>
      <c r="BN700" s="4"/>
      <c r="BO700" s="4"/>
      <c r="BP700" s="4"/>
      <c r="BQ700" s="4"/>
      <c r="BR700" s="4"/>
      <c r="BS700" s="4"/>
      <c r="BT700" s="4"/>
      <c r="BU700" s="4"/>
      <c r="BV700" s="4"/>
    </row>
    <row r="701" spans="29:74" ht="13.2"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  <c r="BK701" s="4"/>
      <c r="BL701" s="4"/>
      <c r="BM701" s="4"/>
      <c r="BN701" s="4"/>
      <c r="BO701" s="4"/>
      <c r="BP701" s="4"/>
      <c r="BQ701" s="4"/>
      <c r="BR701" s="4"/>
      <c r="BS701" s="4"/>
      <c r="BT701" s="4"/>
      <c r="BU701" s="4"/>
      <c r="BV701" s="4"/>
    </row>
    <row r="702" spans="29:74" ht="13.2"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  <c r="BK702" s="4"/>
      <c r="BL702" s="4"/>
      <c r="BM702" s="4"/>
      <c r="BN702" s="4"/>
      <c r="BO702" s="4"/>
      <c r="BP702" s="4"/>
      <c r="BQ702" s="4"/>
      <c r="BR702" s="4"/>
      <c r="BS702" s="4"/>
      <c r="BT702" s="4"/>
      <c r="BU702" s="4"/>
      <c r="BV702" s="4"/>
    </row>
    <row r="703" spans="29:74" ht="13.2"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  <c r="BK703" s="4"/>
      <c r="BL703" s="4"/>
      <c r="BM703" s="4"/>
      <c r="BN703" s="4"/>
      <c r="BO703" s="4"/>
      <c r="BP703" s="4"/>
      <c r="BQ703" s="4"/>
      <c r="BR703" s="4"/>
      <c r="BS703" s="4"/>
      <c r="BT703" s="4"/>
      <c r="BU703" s="4"/>
      <c r="BV703" s="4"/>
    </row>
    <row r="704" spans="29:74" ht="13.2"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  <c r="BK704" s="4"/>
      <c r="BL704" s="4"/>
      <c r="BM704" s="4"/>
      <c r="BN704" s="4"/>
      <c r="BO704" s="4"/>
      <c r="BP704" s="4"/>
      <c r="BQ704" s="4"/>
      <c r="BR704" s="4"/>
      <c r="BS704" s="4"/>
      <c r="BT704" s="4"/>
      <c r="BU704" s="4"/>
      <c r="BV704" s="4"/>
    </row>
    <row r="705" spans="29:74" ht="13.2"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  <c r="BK705" s="4"/>
      <c r="BL705" s="4"/>
      <c r="BM705" s="4"/>
      <c r="BN705" s="4"/>
      <c r="BO705" s="4"/>
      <c r="BP705" s="4"/>
      <c r="BQ705" s="4"/>
      <c r="BR705" s="4"/>
      <c r="BS705" s="4"/>
      <c r="BT705" s="4"/>
      <c r="BU705" s="4"/>
      <c r="BV705" s="4"/>
    </row>
    <row r="706" spans="29:74" ht="13.2"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  <c r="BK706" s="4"/>
      <c r="BL706" s="4"/>
      <c r="BM706" s="4"/>
      <c r="BN706" s="4"/>
      <c r="BO706" s="4"/>
      <c r="BP706" s="4"/>
      <c r="BQ706" s="4"/>
      <c r="BR706" s="4"/>
      <c r="BS706" s="4"/>
      <c r="BT706" s="4"/>
      <c r="BU706" s="4"/>
      <c r="BV706" s="4"/>
    </row>
    <row r="707" spans="29:74" ht="13.2"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  <c r="BK707" s="4"/>
      <c r="BL707" s="4"/>
      <c r="BM707" s="4"/>
      <c r="BN707" s="4"/>
      <c r="BO707" s="4"/>
      <c r="BP707" s="4"/>
      <c r="BQ707" s="4"/>
      <c r="BR707" s="4"/>
      <c r="BS707" s="4"/>
      <c r="BT707" s="4"/>
      <c r="BU707" s="4"/>
      <c r="BV707" s="4"/>
    </row>
    <row r="708" spans="29:74" ht="13.2"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  <c r="BK708" s="4"/>
      <c r="BL708" s="4"/>
      <c r="BM708" s="4"/>
      <c r="BN708" s="4"/>
      <c r="BO708" s="4"/>
      <c r="BP708" s="4"/>
      <c r="BQ708" s="4"/>
      <c r="BR708" s="4"/>
      <c r="BS708" s="4"/>
      <c r="BT708" s="4"/>
      <c r="BU708" s="4"/>
      <c r="BV708" s="4"/>
    </row>
    <row r="709" spans="29:74" ht="13.2"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  <c r="BK709" s="4"/>
      <c r="BL709" s="4"/>
      <c r="BM709" s="4"/>
      <c r="BN709" s="4"/>
      <c r="BO709" s="4"/>
      <c r="BP709" s="4"/>
      <c r="BQ709" s="4"/>
      <c r="BR709" s="4"/>
      <c r="BS709" s="4"/>
      <c r="BT709" s="4"/>
      <c r="BU709" s="4"/>
      <c r="BV709" s="4"/>
    </row>
    <row r="710" spans="29:74" ht="13.2"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  <c r="BK710" s="4"/>
      <c r="BL710" s="4"/>
      <c r="BM710" s="4"/>
      <c r="BN710" s="4"/>
      <c r="BO710" s="4"/>
      <c r="BP710" s="4"/>
      <c r="BQ710" s="4"/>
      <c r="BR710" s="4"/>
      <c r="BS710" s="4"/>
      <c r="BT710" s="4"/>
      <c r="BU710" s="4"/>
      <c r="BV710" s="4"/>
    </row>
    <row r="711" spans="29:74" ht="13.2"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  <c r="BK711" s="4"/>
      <c r="BL711" s="4"/>
      <c r="BM711" s="4"/>
      <c r="BN711" s="4"/>
      <c r="BO711" s="4"/>
      <c r="BP711" s="4"/>
      <c r="BQ711" s="4"/>
      <c r="BR711" s="4"/>
      <c r="BS711" s="4"/>
      <c r="BT711" s="4"/>
      <c r="BU711" s="4"/>
      <c r="BV711" s="4"/>
    </row>
    <row r="712" spans="29:74" ht="13.2"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  <c r="BK712" s="4"/>
      <c r="BL712" s="4"/>
      <c r="BM712" s="4"/>
      <c r="BN712" s="4"/>
      <c r="BO712" s="4"/>
      <c r="BP712" s="4"/>
      <c r="BQ712" s="4"/>
      <c r="BR712" s="4"/>
      <c r="BS712" s="4"/>
      <c r="BT712" s="4"/>
      <c r="BU712" s="4"/>
      <c r="BV712" s="4"/>
    </row>
    <row r="713" spans="29:74" ht="13.2"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  <c r="BK713" s="4"/>
      <c r="BL713" s="4"/>
      <c r="BM713" s="4"/>
      <c r="BN713" s="4"/>
      <c r="BO713" s="4"/>
      <c r="BP713" s="4"/>
      <c r="BQ713" s="4"/>
      <c r="BR713" s="4"/>
      <c r="BS713" s="4"/>
      <c r="BT713" s="4"/>
      <c r="BU713" s="4"/>
      <c r="BV713" s="4"/>
    </row>
    <row r="714" spans="29:74" ht="13.2"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  <c r="BK714" s="4"/>
      <c r="BL714" s="4"/>
      <c r="BM714" s="4"/>
      <c r="BN714" s="4"/>
      <c r="BO714" s="4"/>
      <c r="BP714" s="4"/>
      <c r="BQ714" s="4"/>
      <c r="BR714" s="4"/>
      <c r="BS714" s="4"/>
      <c r="BT714" s="4"/>
      <c r="BU714" s="4"/>
      <c r="BV714" s="4"/>
    </row>
    <row r="715" spans="29:74" ht="13.2"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  <c r="BK715" s="4"/>
      <c r="BL715" s="4"/>
      <c r="BM715" s="4"/>
      <c r="BN715" s="4"/>
      <c r="BO715" s="4"/>
      <c r="BP715" s="4"/>
      <c r="BQ715" s="4"/>
      <c r="BR715" s="4"/>
      <c r="BS715" s="4"/>
      <c r="BT715" s="4"/>
      <c r="BU715" s="4"/>
      <c r="BV715" s="4"/>
    </row>
    <row r="716" spans="29:74" ht="13.2"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  <c r="BK716" s="4"/>
      <c r="BL716" s="4"/>
      <c r="BM716" s="4"/>
      <c r="BN716" s="4"/>
      <c r="BO716" s="4"/>
      <c r="BP716" s="4"/>
      <c r="BQ716" s="4"/>
      <c r="BR716" s="4"/>
      <c r="BS716" s="4"/>
      <c r="BT716" s="4"/>
      <c r="BU716" s="4"/>
      <c r="BV716" s="4"/>
    </row>
    <row r="717" spans="29:74" ht="13.2"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  <c r="BK717" s="4"/>
      <c r="BL717" s="4"/>
      <c r="BM717" s="4"/>
      <c r="BN717" s="4"/>
      <c r="BO717" s="4"/>
      <c r="BP717" s="4"/>
      <c r="BQ717" s="4"/>
      <c r="BR717" s="4"/>
      <c r="BS717" s="4"/>
      <c r="BT717" s="4"/>
      <c r="BU717" s="4"/>
      <c r="BV717" s="4"/>
    </row>
    <row r="718" spans="29:74" ht="13.2"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  <c r="BK718" s="4"/>
      <c r="BL718" s="4"/>
      <c r="BM718" s="4"/>
      <c r="BN718" s="4"/>
      <c r="BO718" s="4"/>
      <c r="BP718" s="4"/>
      <c r="BQ718" s="4"/>
      <c r="BR718" s="4"/>
      <c r="BS718" s="4"/>
      <c r="BT718" s="4"/>
      <c r="BU718" s="4"/>
      <c r="BV718" s="4"/>
    </row>
    <row r="719" spans="29:74" ht="13.2"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  <c r="BK719" s="4"/>
      <c r="BL719" s="4"/>
      <c r="BM719" s="4"/>
      <c r="BN719" s="4"/>
      <c r="BO719" s="4"/>
      <c r="BP719" s="4"/>
      <c r="BQ719" s="4"/>
      <c r="BR719" s="4"/>
      <c r="BS719" s="4"/>
      <c r="BT719" s="4"/>
      <c r="BU719" s="4"/>
      <c r="BV719" s="4"/>
    </row>
    <row r="720" spans="29:74" ht="13.2"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  <c r="BK720" s="4"/>
      <c r="BL720" s="4"/>
      <c r="BM720" s="4"/>
      <c r="BN720" s="4"/>
      <c r="BO720" s="4"/>
      <c r="BP720" s="4"/>
      <c r="BQ720" s="4"/>
      <c r="BR720" s="4"/>
      <c r="BS720" s="4"/>
      <c r="BT720" s="4"/>
      <c r="BU720" s="4"/>
      <c r="BV720" s="4"/>
    </row>
    <row r="721" spans="29:74" ht="13.2"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  <c r="BK721" s="4"/>
      <c r="BL721" s="4"/>
      <c r="BM721" s="4"/>
      <c r="BN721" s="4"/>
      <c r="BO721" s="4"/>
      <c r="BP721" s="4"/>
      <c r="BQ721" s="4"/>
      <c r="BR721" s="4"/>
      <c r="BS721" s="4"/>
      <c r="BT721" s="4"/>
      <c r="BU721" s="4"/>
      <c r="BV721" s="4"/>
    </row>
    <row r="722" spans="29:74" ht="13.2"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  <c r="BK722" s="4"/>
      <c r="BL722" s="4"/>
      <c r="BM722" s="4"/>
      <c r="BN722" s="4"/>
      <c r="BO722" s="4"/>
      <c r="BP722" s="4"/>
      <c r="BQ722" s="4"/>
      <c r="BR722" s="4"/>
      <c r="BS722" s="4"/>
      <c r="BT722" s="4"/>
      <c r="BU722" s="4"/>
      <c r="BV722" s="4"/>
    </row>
    <row r="723" spans="29:74" ht="13.2"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  <c r="BK723" s="4"/>
      <c r="BL723" s="4"/>
      <c r="BM723" s="4"/>
      <c r="BN723" s="4"/>
      <c r="BO723" s="4"/>
      <c r="BP723" s="4"/>
      <c r="BQ723" s="4"/>
      <c r="BR723" s="4"/>
      <c r="BS723" s="4"/>
      <c r="BT723" s="4"/>
      <c r="BU723" s="4"/>
      <c r="BV723" s="4"/>
    </row>
    <row r="724" spans="29:74" ht="13.2"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  <c r="BK724" s="4"/>
      <c r="BL724" s="4"/>
      <c r="BM724" s="4"/>
      <c r="BN724" s="4"/>
      <c r="BO724" s="4"/>
      <c r="BP724" s="4"/>
      <c r="BQ724" s="4"/>
      <c r="BR724" s="4"/>
      <c r="BS724" s="4"/>
      <c r="BT724" s="4"/>
      <c r="BU724" s="4"/>
      <c r="BV724" s="4"/>
    </row>
    <row r="725" spans="29:74" ht="13.2"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  <c r="BK725" s="4"/>
      <c r="BL725" s="4"/>
      <c r="BM725" s="4"/>
      <c r="BN725" s="4"/>
      <c r="BO725" s="4"/>
      <c r="BP725" s="4"/>
      <c r="BQ725" s="4"/>
      <c r="BR725" s="4"/>
      <c r="BS725" s="4"/>
      <c r="BT725" s="4"/>
      <c r="BU725" s="4"/>
      <c r="BV725" s="4"/>
    </row>
    <row r="726" spans="29:74" ht="13.2"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  <c r="BK726" s="4"/>
      <c r="BL726" s="4"/>
      <c r="BM726" s="4"/>
      <c r="BN726" s="4"/>
      <c r="BO726" s="4"/>
      <c r="BP726" s="4"/>
      <c r="BQ726" s="4"/>
      <c r="BR726" s="4"/>
      <c r="BS726" s="4"/>
      <c r="BT726" s="4"/>
      <c r="BU726" s="4"/>
      <c r="BV726" s="4"/>
    </row>
    <row r="727" spans="29:74" ht="13.2"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  <c r="BK727" s="4"/>
      <c r="BL727" s="4"/>
      <c r="BM727" s="4"/>
      <c r="BN727" s="4"/>
      <c r="BO727" s="4"/>
      <c r="BP727" s="4"/>
      <c r="BQ727" s="4"/>
      <c r="BR727" s="4"/>
      <c r="BS727" s="4"/>
      <c r="BT727" s="4"/>
      <c r="BU727" s="4"/>
      <c r="BV727" s="4"/>
    </row>
    <row r="728" spans="29:74" ht="13.2"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  <c r="BK728" s="4"/>
      <c r="BL728" s="4"/>
      <c r="BM728" s="4"/>
      <c r="BN728" s="4"/>
      <c r="BO728" s="4"/>
      <c r="BP728" s="4"/>
      <c r="BQ728" s="4"/>
      <c r="BR728" s="4"/>
      <c r="BS728" s="4"/>
      <c r="BT728" s="4"/>
      <c r="BU728" s="4"/>
      <c r="BV728" s="4"/>
    </row>
    <row r="729" spans="29:74" ht="13.2"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  <c r="BK729" s="4"/>
      <c r="BL729" s="4"/>
      <c r="BM729" s="4"/>
      <c r="BN729" s="4"/>
      <c r="BO729" s="4"/>
      <c r="BP729" s="4"/>
      <c r="BQ729" s="4"/>
      <c r="BR729" s="4"/>
      <c r="BS729" s="4"/>
      <c r="BT729" s="4"/>
      <c r="BU729" s="4"/>
      <c r="BV729" s="4"/>
    </row>
    <row r="730" spans="29:74" ht="13.2"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  <c r="BK730" s="4"/>
      <c r="BL730" s="4"/>
      <c r="BM730" s="4"/>
      <c r="BN730" s="4"/>
      <c r="BO730" s="4"/>
      <c r="BP730" s="4"/>
      <c r="BQ730" s="4"/>
      <c r="BR730" s="4"/>
      <c r="BS730" s="4"/>
      <c r="BT730" s="4"/>
      <c r="BU730" s="4"/>
      <c r="BV730" s="4"/>
    </row>
    <row r="731" spans="29:74" ht="13.2"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  <c r="BK731" s="4"/>
      <c r="BL731" s="4"/>
      <c r="BM731" s="4"/>
      <c r="BN731" s="4"/>
      <c r="BO731" s="4"/>
      <c r="BP731" s="4"/>
      <c r="BQ731" s="4"/>
      <c r="BR731" s="4"/>
      <c r="BS731" s="4"/>
      <c r="BT731" s="4"/>
      <c r="BU731" s="4"/>
      <c r="BV731" s="4"/>
    </row>
    <row r="732" spans="29:74" ht="13.2"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  <c r="BK732" s="4"/>
      <c r="BL732" s="4"/>
      <c r="BM732" s="4"/>
      <c r="BN732" s="4"/>
      <c r="BO732" s="4"/>
      <c r="BP732" s="4"/>
      <c r="BQ732" s="4"/>
      <c r="BR732" s="4"/>
      <c r="BS732" s="4"/>
      <c r="BT732" s="4"/>
      <c r="BU732" s="4"/>
      <c r="BV732" s="4"/>
    </row>
    <row r="733" spans="29:74" ht="13.2"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  <c r="BK733" s="4"/>
      <c r="BL733" s="4"/>
      <c r="BM733" s="4"/>
      <c r="BN733" s="4"/>
      <c r="BO733" s="4"/>
      <c r="BP733" s="4"/>
      <c r="BQ733" s="4"/>
      <c r="BR733" s="4"/>
      <c r="BS733" s="4"/>
      <c r="BT733" s="4"/>
      <c r="BU733" s="4"/>
      <c r="BV733" s="4"/>
    </row>
    <row r="734" spans="29:74" ht="13.2"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  <c r="BK734" s="4"/>
      <c r="BL734" s="4"/>
      <c r="BM734" s="4"/>
      <c r="BN734" s="4"/>
      <c r="BO734" s="4"/>
      <c r="BP734" s="4"/>
      <c r="BQ734" s="4"/>
      <c r="BR734" s="4"/>
      <c r="BS734" s="4"/>
      <c r="BT734" s="4"/>
      <c r="BU734" s="4"/>
      <c r="BV734" s="4"/>
    </row>
    <row r="735" spans="29:74" ht="13.2"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  <c r="BK735" s="4"/>
      <c r="BL735" s="4"/>
      <c r="BM735" s="4"/>
      <c r="BN735" s="4"/>
      <c r="BO735" s="4"/>
      <c r="BP735" s="4"/>
      <c r="BQ735" s="4"/>
      <c r="BR735" s="4"/>
      <c r="BS735" s="4"/>
      <c r="BT735" s="4"/>
      <c r="BU735" s="4"/>
      <c r="BV735" s="4"/>
    </row>
    <row r="736" spans="29:74" ht="13.2"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  <c r="BK736" s="4"/>
      <c r="BL736" s="4"/>
      <c r="BM736" s="4"/>
      <c r="BN736" s="4"/>
      <c r="BO736" s="4"/>
      <c r="BP736" s="4"/>
      <c r="BQ736" s="4"/>
      <c r="BR736" s="4"/>
      <c r="BS736" s="4"/>
      <c r="BT736" s="4"/>
      <c r="BU736" s="4"/>
      <c r="BV736" s="4"/>
    </row>
    <row r="737" spans="29:74" ht="13.2"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  <c r="BK737" s="4"/>
      <c r="BL737" s="4"/>
      <c r="BM737" s="4"/>
      <c r="BN737" s="4"/>
      <c r="BO737" s="4"/>
      <c r="BP737" s="4"/>
      <c r="BQ737" s="4"/>
      <c r="BR737" s="4"/>
      <c r="BS737" s="4"/>
      <c r="BT737" s="4"/>
      <c r="BU737" s="4"/>
      <c r="BV737" s="4"/>
    </row>
    <row r="738" spans="29:74" ht="13.2"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  <c r="BK738" s="4"/>
      <c r="BL738" s="4"/>
      <c r="BM738" s="4"/>
      <c r="BN738" s="4"/>
      <c r="BO738" s="4"/>
      <c r="BP738" s="4"/>
      <c r="BQ738" s="4"/>
      <c r="BR738" s="4"/>
      <c r="BS738" s="4"/>
      <c r="BT738" s="4"/>
      <c r="BU738" s="4"/>
      <c r="BV738" s="4"/>
    </row>
    <row r="739" spans="29:74" ht="13.2"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  <c r="BK739" s="4"/>
      <c r="BL739" s="4"/>
      <c r="BM739" s="4"/>
      <c r="BN739" s="4"/>
      <c r="BO739" s="4"/>
      <c r="BP739" s="4"/>
      <c r="BQ739" s="4"/>
      <c r="BR739" s="4"/>
      <c r="BS739" s="4"/>
      <c r="BT739" s="4"/>
      <c r="BU739" s="4"/>
      <c r="BV739" s="4"/>
    </row>
    <row r="740" spans="29:74" ht="13.2"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  <c r="BK740" s="4"/>
      <c r="BL740" s="4"/>
      <c r="BM740" s="4"/>
      <c r="BN740" s="4"/>
      <c r="BO740" s="4"/>
      <c r="BP740" s="4"/>
      <c r="BQ740" s="4"/>
      <c r="BR740" s="4"/>
      <c r="BS740" s="4"/>
      <c r="BT740" s="4"/>
      <c r="BU740" s="4"/>
      <c r="BV740" s="4"/>
    </row>
    <row r="741" spans="29:74" ht="13.2"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  <c r="BK741" s="4"/>
      <c r="BL741" s="4"/>
      <c r="BM741" s="4"/>
      <c r="BN741" s="4"/>
      <c r="BO741" s="4"/>
      <c r="BP741" s="4"/>
      <c r="BQ741" s="4"/>
      <c r="BR741" s="4"/>
      <c r="BS741" s="4"/>
      <c r="BT741" s="4"/>
      <c r="BU741" s="4"/>
      <c r="BV741" s="4"/>
    </row>
    <row r="742" spans="29:74" ht="13.2"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  <c r="BK742" s="4"/>
      <c r="BL742" s="4"/>
      <c r="BM742" s="4"/>
      <c r="BN742" s="4"/>
      <c r="BO742" s="4"/>
      <c r="BP742" s="4"/>
      <c r="BQ742" s="4"/>
      <c r="BR742" s="4"/>
      <c r="BS742" s="4"/>
      <c r="BT742" s="4"/>
      <c r="BU742" s="4"/>
      <c r="BV742" s="4"/>
    </row>
    <row r="743" spans="29:74" ht="13.2"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  <c r="BK743" s="4"/>
      <c r="BL743" s="4"/>
      <c r="BM743" s="4"/>
      <c r="BN743" s="4"/>
      <c r="BO743" s="4"/>
      <c r="BP743" s="4"/>
      <c r="BQ743" s="4"/>
      <c r="BR743" s="4"/>
      <c r="BS743" s="4"/>
      <c r="BT743" s="4"/>
      <c r="BU743" s="4"/>
      <c r="BV743" s="4"/>
    </row>
    <row r="744" spans="29:74" ht="13.2"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  <c r="BK744" s="4"/>
      <c r="BL744" s="4"/>
      <c r="BM744" s="4"/>
      <c r="BN744" s="4"/>
      <c r="BO744" s="4"/>
      <c r="BP744" s="4"/>
      <c r="BQ744" s="4"/>
      <c r="BR744" s="4"/>
      <c r="BS744" s="4"/>
      <c r="BT744" s="4"/>
      <c r="BU744" s="4"/>
      <c r="BV744" s="4"/>
    </row>
    <row r="745" spans="29:74" ht="13.2"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  <c r="BK745" s="4"/>
      <c r="BL745" s="4"/>
      <c r="BM745" s="4"/>
      <c r="BN745" s="4"/>
      <c r="BO745" s="4"/>
      <c r="BP745" s="4"/>
      <c r="BQ745" s="4"/>
      <c r="BR745" s="4"/>
      <c r="BS745" s="4"/>
      <c r="BT745" s="4"/>
      <c r="BU745" s="4"/>
      <c r="BV745" s="4"/>
    </row>
    <row r="746" spans="29:74" ht="13.2"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  <c r="BK746" s="4"/>
      <c r="BL746" s="4"/>
      <c r="BM746" s="4"/>
      <c r="BN746" s="4"/>
      <c r="BO746" s="4"/>
      <c r="BP746" s="4"/>
      <c r="BQ746" s="4"/>
      <c r="BR746" s="4"/>
      <c r="BS746" s="4"/>
      <c r="BT746" s="4"/>
      <c r="BU746" s="4"/>
      <c r="BV746" s="4"/>
    </row>
    <row r="747" spans="29:74" ht="13.2"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  <c r="BK747" s="4"/>
      <c r="BL747" s="4"/>
      <c r="BM747" s="4"/>
      <c r="BN747" s="4"/>
      <c r="BO747" s="4"/>
      <c r="BP747" s="4"/>
      <c r="BQ747" s="4"/>
      <c r="BR747" s="4"/>
      <c r="BS747" s="4"/>
      <c r="BT747" s="4"/>
      <c r="BU747" s="4"/>
      <c r="BV747" s="4"/>
    </row>
    <row r="748" spans="29:74" ht="13.2"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  <c r="BK748" s="4"/>
      <c r="BL748" s="4"/>
      <c r="BM748" s="4"/>
      <c r="BN748" s="4"/>
      <c r="BO748" s="4"/>
      <c r="BP748" s="4"/>
      <c r="BQ748" s="4"/>
      <c r="BR748" s="4"/>
      <c r="BS748" s="4"/>
      <c r="BT748" s="4"/>
      <c r="BU748" s="4"/>
      <c r="BV748" s="4"/>
    </row>
    <row r="749" spans="29:74" ht="13.2"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  <c r="BK749" s="4"/>
      <c r="BL749" s="4"/>
      <c r="BM749" s="4"/>
      <c r="BN749" s="4"/>
      <c r="BO749" s="4"/>
      <c r="BP749" s="4"/>
      <c r="BQ749" s="4"/>
      <c r="BR749" s="4"/>
      <c r="BS749" s="4"/>
      <c r="BT749" s="4"/>
      <c r="BU749" s="4"/>
      <c r="BV749" s="4"/>
    </row>
    <row r="750" spans="29:74" ht="13.2"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  <c r="BK750" s="4"/>
      <c r="BL750" s="4"/>
      <c r="BM750" s="4"/>
      <c r="BN750" s="4"/>
      <c r="BO750" s="4"/>
      <c r="BP750" s="4"/>
      <c r="BQ750" s="4"/>
      <c r="BR750" s="4"/>
      <c r="BS750" s="4"/>
      <c r="BT750" s="4"/>
      <c r="BU750" s="4"/>
      <c r="BV750" s="4"/>
    </row>
    <row r="751" spans="29:74" ht="13.2"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  <c r="BK751" s="4"/>
      <c r="BL751" s="4"/>
      <c r="BM751" s="4"/>
      <c r="BN751" s="4"/>
      <c r="BO751" s="4"/>
      <c r="BP751" s="4"/>
      <c r="BQ751" s="4"/>
      <c r="BR751" s="4"/>
      <c r="BS751" s="4"/>
      <c r="BT751" s="4"/>
      <c r="BU751" s="4"/>
      <c r="BV751" s="4"/>
    </row>
    <row r="752" spans="29:74" ht="13.2"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  <c r="BK752" s="4"/>
      <c r="BL752" s="4"/>
      <c r="BM752" s="4"/>
      <c r="BN752" s="4"/>
      <c r="BO752" s="4"/>
      <c r="BP752" s="4"/>
      <c r="BQ752" s="4"/>
      <c r="BR752" s="4"/>
      <c r="BS752" s="4"/>
      <c r="BT752" s="4"/>
      <c r="BU752" s="4"/>
      <c r="BV752" s="4"/>
    </row>
    <row r="753" spans="29:74" ht="13.2"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  <c r="BK753" s="4"/>
      <c r="BL753" s="4"/>
      <c r="BM753" s="4"/>
      <c r="BN753" s="4"/>
      <c r="BO753" s="4"/>
      <c r="BP753" s="4"/>
      <c r="BQ753" s="4"/>
      <c r="BR753" s="4"/>
      <c r="BS753" s="4"/>
      <c r="BT753" s="4"/>
      <c r="BU753" s="4"/>
      <c r="BV753" s="4"/>
    </row>
    <row r="754" spans="29:74" ht="13.2"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  <c r="BK754" s="4"/>
      <c r="BL754" s="4"/>
      <c r="BM754" s="4"/>
      <c r="BN754" s="4"/>
      <c r="BO754" s="4"/>
      <c r="BP754" s="4"/>
      <c r="BQ754" s="4"/>
      <c r="BR754" s="4"/>
      <c r="BS754" s="4"/>
      <c r="BT754" s="4"/>
      <c r="BU754" s="4"/>
      <c r="BV754" s="4"/>
    </row>
    <row r="755" spans="29:74" ht="13.2"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  <c r="BK755" s="4"/>
      <c r="BL755" s="4"/>
      <c r="BM755" s="4"/>
      <c r="BN755" s="4"/>
      <c r="BO755" s="4"/>
      <c r="BP755" s="4"/>
      <c r="BQ755" s="4"/>
      <c r="BR755" s="4"/>
      <c r="BS755" s="4"/>
      <c r="BT755" s="4"/>
      <c r="BU755" s="4"/>
      <c r="BV755" s="4"/>
    </row>
    <row r="756" spans="29:74" ht="13.2"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  <c r="BK756" s="4"/>
      <c r="BL756" s="4"/>
      <c r="BM756" s="4"/>
      <c r="BN756" s="4"/>
      <c r="BO756" s="4"/>
      <c r="BP756" s="4"/>
      <c r="BQ756" s="4"/>
      <c r="BR756" s="4"/>
      <c r="BS756" s="4"/>
      <c r="BT756" s="4"/>
      <c r="BU756" s="4"/>
      <c r="BV756" s="4"/>
    </row>
    <row r="757" spans="29:74" ht="13.2"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  <c r="BK757" s="4"/>
      <c r="BL757" s="4"/>
      <c r="BM757" s="4"/>
      <c r="BN757" s="4"/>
      <c r="BO757" s="4"/>
      <c r="BP757" s="4"/>
      <c r="BQ757" s="4"/>
      <c r="BR757" s="4"/>
      <c r="BS757" s="4"/>
      <c r="BT757" s="4"/>
      <c r="BU757" s="4"/>
      <c r="BV757" s="4"/>
    </row>
    <row r="758" spans="29:74" ht="13.2"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  <c r="BK758" s="4"/>
      <c r="BL758" s="4"/>
      <c r="BM758" s="4"/>
      <c r="BN758" s="4"/>
      <c r="BO758" s="4"/>
      <c r="BP758" s="4"/>
      <c r="BQ758" s="4"/>
      <c r="BR758" s="4"/>
      <c r="BS758" s="4"/>
      <c r="BT758" s="4"/>
      <c r="BU758" s="4"/>
      <c r="BV758" s="4"/>
    </row>
    <row r="759" spans="29:74" ht="13.2"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  <c r="BK759" s="4"/>
      <c r="BL759" s="4"/>
      <c r="BM759" s="4"/>
      <c r="BN759" s="4"/>
      <c r="BO759" s="4"/>
      <c r="BP759" s="4"/>
      <c r="BQ759" s="4"/>
      <c r="BR759" s="4"/>
      <c r="BS759" s="4"/>
      <c r="BT759" s="4"/>
      <c r="BU759" s="4"/>
      <c r="BV759" s="4"/>
    </row>
    <row r="760" spans="29:74" ht="13.2"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  <c r="BK760" s="4"/>
      <c r="BL760" s="4"/>
      <c r="BM760" s="4"/>
      <c r="BN760" s="4"/>
      <c r="BO760" s="4"/>
      <c r="BP760" s="4"/>
      <c r="BQ760" s="4"/>
      <c r="BR760" s="4"/>
      <c r="BS760" s="4"/>
      <c r="BT760" s="4"/>
      <c r="BU760" s="4"/>
      <c r="BV760" s="4"/>
    </row>
    <row r="761" spans="29:74" ht="13.2"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  <c r="BK761" s="4"/>
      <c r="BL761" s="4"/>
      <c r="BM761" s="4"/>
      <c r="BN761" s="4"/>
      <c r="BO761" s="4"/>
      <c r="BP761" s="4"/>
      <c r="BQ761" s="4"/>
      <c r="BR761" s="4"/>
      <c r="BS761" s="4"/>
      <c r="BT761" s="4"/>
      <c r="BU761" s="4"/>
      <c r="BV761" s="4"/>
    </row>
    <row r="762" spans="29:74" ht="13.2"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  <c r="BK762" s="4"/>
      <c r="BL762" s="4"/>
      <c r="BM762" s="4"/>
      <c r="BN762" s="4"/>
      <c r="BO762" s="4"/>
      <c r="BP762" s="4"/>
      <c r="BQ762" s="4"/>
      <c r="BR762" s="4"/>
      <c r="BS762" s="4"/>
      <c r="BT762" s="4"/>
      <c r="BU762" s="4"/>
      <c r="BV762" s="4"/>
    </row>
    <row r="763" spans="29:74" ht="13.2"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  <c r="BK763" s="4"/>
      <c r="BL763" s="4"/>
      <c r="BM763" s="4"/>
      <c r="BN763" s="4"/>
      <c r="BO763" s="4"/>
      <c r="BP763" s="4"/>
      <c r="BQ763" s="4"/>
      <c r="BR763" s="4"/>
      <c r="BS763" s="4"/>
      <c r="BT763" s="4"/>
      <c r="BU763" s="4"/>
      <c r="BV763" s="4"/>
    </row>
    <row r="764" spans="29:74" ht="13.2"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  <c r="BK764" s="4"/>
      <c r="BL764" s="4"/>
      <c r="BM764" s="4"/>
      <c r="BN764" s="4"/>
      <c r="BO764" s="4"/>
      <c r="BP764" s="4"/>
      <c r="BQ764" s="4"/>
      <c r="BR764" s="4"/>
      <c r="BS764" s="4"/>
      <c r="BT764" s="4"/>
      <c r="BU764" s="4"/>
      <c r="BV764" s="4"/>
    </row>
    <row r="765" spans="29:74" ht="13.2"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  <c r="BK765" s="4"/>
      <c r="BL765" s="4"/>
      <c r="BM765" s="4"/>
      <c r="BN765" s="4"/>
      <c r="BO765" s="4"/>
      <c r="BP765" s="4"/>
      <c r="BQ765" s="4"/>
      <c r="BR765" s="4"/>
      <c r="BS765" s="4"/>
      <c r="BT765" s="4"/>
      <c r="BU765" s="4"/>
      <c r="BV765" s="4"/>
    </row>
    <row r="766" spans="29:74" ht="13.2"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  <c r="BK766" s="4"/>
      <c r="BL766" s="4"/>
      <c r="BM766" s="4"/>
      <c r="BN766" s="4"/>
      <c r="BO766" s="4"/>
      <c r="BP766" s="4"/>
      <c r="BQ766" s="4"/>
      <c r="BR766" s="4"/>
      <c r="BS766" s="4"/>
      <c r="BT766" s="4"/>
      <c r="BU766" s="4"/>
      <c r="BV766" s="4"/>
    </row>
    <row r="767" spans="29:74" ht="13.2"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  <c r="BK767" s="4"/>
      <c r="BL767" s="4"/>
      <c r="BM767" s="4"/>
      <c r="BN767" s="4"/>
      <c r="BO767" s="4"/>
      <c r="BP767" s="4"/>
      <c r="BQ767" s="4"/>
      <c r="BR767" s="4"/>
      <c r="BS767" s="4"/>
      <c r="BT767" s="4"/>
      <c r="BU767" s="4"/>
      <c r="BV767" s="4"/>
    </row>
    <row r="768" spans="29:74" ht="13.2"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  <c r="BK768" s="4"/>
      <c r="BL768" s="4"/>
      <c r="BM768" s="4"/>
      <c r="BN768" s="4"/>
      <c r="BO768" s="4"/>
      <c r="BP768" s="4"/>
      <c r="BQ768" s="4"/>
      <c r="BR768" s="4"/>
      <c r="BS768" s="4"/>
      <c r="BT768" s="4"/>
      <c r="BU768" s="4"/>
      <c r="BV768" s="4"/>
    </row>
    <row r="769" spans="29:74" ht="13.2"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  <c r="BK769" s="4"/>
      <c r="BL769" s="4"/>
      <c r="BM769" s="4"/>
      <c r="BN769" s="4"/>
      <c r="BO769" s="4"/>
      <c r="BP769" s="4"/>
      <c r="BQ769" s="4"/>
      <c r="BR769" s="4"/>
      <c r="BS769" s="4"/>
      <c r="BT769" s="4"/>
      <c r="BU769" s="4"/>
      <c r="BV769" s="4"/>
    </row>
    <row r="770" spans="29:74" ht="13.2"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  <c r="BK770" s="4"/>
      <c r="BL770" s="4"/>
      <c r="BM770" s="4"/>
      <c r="BN770" s="4"/>
      <c r="BO770" s="4"/>
      <c r="BP770" s="4"/>
      <c r="BQ770" s="4"/>
      <c r="BR770" s="4"/>
      <c r="BS770" s="4"/>
      <c r="BT770" s="4"/>
      <c r="BU770" s="4"/>
      <c r="BV770" s="4"/>
    </row>
    <row r="771" spans="29:74" ht="13.2"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  <c r="BK771" s="4"/>
      <c r="BL771" s="4"/>
      <c r="BM771" s="4"/>
      <c r="BN771" s="4"/>
      <c r="BO771" s="4"/>
      <c r="BP771" s="4"/>
      <c r="BQ771" s="4"/>
      <c r="BR771" s="4"/>
      <c r="BS771" s="4"/>
      <c r="BT771" s="4"/>
      <c r="BU771" s="4"/>
      <c r="BV771" s="4"/>
    </row>
    <row r="772" spans="29:74" ht="13.2"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  <c r="BK772" s="4"/>
      <c r="BL772" s="4"/>
      <c r="BM772" s="4"/>
      <c r="BN772" s="4"/>
      <c r="BO772" s="4"/>
      <c r="BP772" s="4"/>
      <c r="BQ772" s="4"/>
      <c r="BR772" s="4"/>
      <c r="BS772" s="4"/>
      <c r="BT772" s="4"/>
      <c r="BU772" s="4"/>
      <c r="BV772" s="4"/>
    </row>
    <row r="773" spans="29:74" ht="13.2"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  <c r="BK773" s="4"/>
      <c r="BL773" s="4"/>
      <c r="BM773" s="4"/>
      <c r="BN773" s="4"/>
      <c r="BO773" s="4"/>
      <c r="BP773" s="4"/>
      <c r="BQ773" s="4"/>
      <c r="BR773" s="4"/>
      <c r="BS773" s="4"/>
      <c r="BT773" s="4"/>
      <c r="BU773" s="4"/>
      <c r="BV773" s="4"/>
    </row>
    <row r="774" spans="29:74" ht="13.2"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  <c r="BK774" s="4"/>
      <c r="BL774" s="4"/>
      <c r="BM774" s="4"/>
      <c r="BN774" s="4"/>
      <c r="BO774" s="4"/>
      <c r="BP774" s="4"/>
      <c r="BQ774" s="4"/>
      <c r="BR774" s="4"/>
      <c r="BS774" s="4"/>
      <c r="BT774" s="4"/>
      <c r="BU774" s="4"/>
      <c r="BV774" s="4"/>
    </row>
    <row r="775" spans="29:74" ht="13.2"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  <c r="BK775" s="4"/>
      <c r="BL775" s="4"/>
      <c r="BM775" s="4"/>
      <c r="BN775" s="4"/>
      <c r="BO775" s="4"/>
      <c r="BP775" s="4"/>
      <c r="BQ775" s="4"/>
      <c r="BR775" s="4"/>
      <c r="BS775" s="4"/>
      <c r="BT775" s="4"/>
      <c r="BU775" s="4"/>
      <c r="BV775" s="4"/>
    </row>
    <row r="776" spans="29:74" ht="13.2"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  <c r="BK776" s="4"/>
      <c r="BL776" s="4"/>
      <c r="BM776" s="4"/>
      <c r="BN776" s="4"/>
      <c r="BO776" s="4"/>
      <c r="BP776" s="4"/>
      <c r="BQ776" s="4"/>
      <c r="BR776" s="4"/>
      <c r="BS776" s="4"/>
      <c r="BT776" s="4"/>
      <c r="BU776" s="4"/>
      <c r="BV776" s="4"/>
    </row>
    <row r="777" spans="29:74" ht="13.2"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  <c r="BK777" s="4"/>
      <c r="BL777" s="4"/>
      <c r="BM777" s="4"/>
      <c r="BN777" s="4"/>
      <c r="BO777" s="4"/>
      <c r="BP777" s="4"/>
      <c r="BQ777" s="4"/>
      <c r="BR777" s="4"/>
      <c r="BS777" s="4"/>
      <c r="BT777" s="4"/>
      <c r="BU777" s="4"/>
      <c r="BV777" s="4"/>
    </row>
    <row r="778" spans="29:74" ht="13.2"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  <c r="BK778" s="4"/>
      <c r="BL778" s="4"/>
      <c r="BM778" s="4"/>
      <c r="BN778" s="4"/>
      <c r="BO778" s="4"/>
      <c r="BP778" s="4"/>
      <c r="BQ778" s="4"/>
      <c r="BR778" s="4"/>
      <c r="BS778" s="4"/>
      <c r="BT778" s="4"/>
      <c r="BU778" s="4"/>
      <c r="BV778" s="4"/>
    </row>
    <row r="779" spans="29:74" ht="13.2"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  <c r="BK779" s="4"/>
      <c r="BL779" s="4"/>
      <c r="BM779" s="4"/>
      <c r="BN779" s="4"/>
      <c r="BO779" s="4"/>
      <c r="BP779" s="4"/>
      <c r="BQ779" s="4"/>
      <c r="BR779" s="4"/>
      <c r="BS779" s="4"/>
      <c r="BT779" s="4"/>
      <c r="BU779" s="4"/>
      <c r="BV779" s="4"/>
    </row>
    <row r="780" spans="29:74" ht="13.2"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  <c r="BK780" s="4"/>
      <c r="BL780" s="4"/>
      <c r="BM780" s="4"/>
      <c r="BN780" s="4"/>
      <c r="BO780" s="4"/>
      <c r="BP780" s="4"/>
      <c r="BQ780" s="4"/>
      <c r="BR780" s="4"/>
      <c r="BS780" s="4"/>
      <c r="BT780" s="4"/>
      <c r="BU780" s="4"/>
      <c r="BV780" s="4"/>
    </row>
    <row r="781" spans="29:74" ht="13.2"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  <c r="BK781" s="4"/>
      <c r="BL781" s="4"/>
      <c r="BM781" s="4"/>
      <c r="BN781" s="4"/>
      <c r="BO781" s="4"/>
      <c r="BP781" s="4"/>
      <c r="BQ781" s="4"/>
      <c r="BR781" s="4"/>
      <c r="BS781" s="4"/>
      <c r="BT781" s="4"/>
      <c r="BU781" s="4"/>
      <c r="BV781" s="4"/>
    </row>
    <row r="782" spans="29:74" ht="13.2"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  <c r="BK782" s="4"/>
      <c r="BL782" s="4"/>
      <c r="BM782" s="4"/>
      <c r="BN782" s="4"/>
      <c r="BO782" s="4"/>
      <c r="BP782" s="4"/>
      <c r="BQ782" s="4"/>
      <c r="BR782" s="4"/>
      <c r="BS782" s="4"/>
      <c r="BT782" s="4"/>
      <c r="BU782" s="4"/>
      <c r="BV782" s="4"/>
    </row>
    <row r="783" spans="29:74" ht="13.2"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  <c r="BK783" s="4"/>
      <c r="BL783" s="4"/>
      <c r="BM783" s="4"/>
      <c r="BN783" s="4"/>
      <c r="BO783" s="4"/>
      <c r="BP783" s="4"/>
      <c r="BQ783" s="4"/>
      <c r="BR783" s="4"/>
      <c r="BS783" s="4"/>
      <c r="BT783" s="4"/>
      <c r="BU783" s="4"/>
      <c r="BV783" s="4"/>
    </row>
    <row r="784" spans="29:74" ht="13.2"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  <c r="BK784" s="4"/>
      <c r="BL784" s="4"/>
      <c r="BM784" s="4"/>
      <c r="BN784" s="4"/>
      <c r="BO784" s="4"/>
      <c r="BP784" s="4"/>
      <c r="BQ784" s="4"/>
      <c r="BR784" s="4"/>
      <c r="BS784" s="4"/>
      <c r="BT784" s="4"/>
      <c r="BU784" s="4"/>
      <c r="BV784" s="4"/>
    </row>
    <row r="785" spans="29:74" ht="13.2"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  <c r="BK785" s="4"/>
      <c r="BL785" s="4"/>
      <c r="BM785" s="4"/>
      <c r="BN785" s="4"/>
      <c r="BO785" s="4"/>
      <c r="BP785" s="4"/>
      <c r="BQ785" s="4"/>
      <c r="BR785" s="4"/>
      <c r="BS785" s="4"/>
      <c r="BT785" s="4"/>
      <c r="BU785" s="4"/>
      <c r="BV785" s="4"/>
    </row>
    <row r="786" spans="29:74" ht="13.2"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  <c r="BK786" s="4"/>
      <c r="BL786" s="4"/>
      <c r="BM786" s="4"/>
      <c r="BN786" s="4"/>
      <c r="BO786" s="4"/>
      <c r="BP786" s="4"/>
      <c r="BQ786" s="4"/>
      <c r="BR786" s="4"/>
      <c r="BS786" s="4"/>
      <c r="BT786" s="4"/>
      <c r="BU786" s="4"/>
      <c r="BV786" s="4"/>
    </row>
    <row r="787" spans="29:74" ht="13.2"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  <c r="BK787" s="4"/>
      <c r="BL787" s="4"/>
      <c r="BM787" s="4"/>
      <c r="BN787" s="4"/>
      <c r="BO787" s="4"/>
      <c r="BP787" s="4"/>
      <c r="BQ787" s="4"/>
      <c r="BR787" s="4"/>
      <c r="BS787" s="4"/>
      <c r="BT787" s="4"/>
      <c r="BU787" s="4"/>
      <c r="BV787" s="4"/>
    </row>
    <row r="788" spans="29:74" ht="13.2"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  <c r="BK788" s="4"/>
      <c r="BL788" s="4"/>
      <c r="BM788" s="4"/>
      <c r="BN788" s="4"/>
      <c r="BO788" s="4"/>
      <c r="BP788" s="4"/>
      <c r="BQ788" s="4"/>
      <c r="BR788" s="4"/>
      <c r="BS788" s="4"/>
      <c r="BT788" s="4"/>
      <c r="BU788" s="4"/>
      <c r="BV788" s="4"/>
    </row>
    <row r="789" spans="29:74" ht="13.2"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  <c r="BK789" s="4"/>
      <c r="BL789" s="4"/>
      <c r="BM789" s="4"/>
      <c r="BN789" s="4"/>
      <c r="BO789" s="4"/>
      <c r="BP789" s="4"/>
      <c r="BQ789" s="4"/>
      <c r="BR789" s="4"/>
      <c r="BS789" s="4"/>
      <c r="BT789" s="4"/>
      <c r="BU789" s="4"/>
      <c r="BV789" s="4"/>
    </row>
    <row r="790" spans="29:74" ht="13.2"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  <c r="BK790" s="4"/>
      <c r="BL790" s="4"/>
      <c r="BM790" s="4"/>
      <c r="BN790" s="4"/>
      <c r="BO790" s="4"/>
      <c r="BP790" s="4"/>
      <c r="BQ790" s="4"/>
      <c r="BR790" s="4"/>
      <c r="BS790" s="4"/>
      <c r="BT790" s="4"/>
      <c r="BU790" s="4"/>
      <c r="BV790" s="4"/>
    </row>
    <row r="791" spans="29:74" ht="13.2"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  <c r="BK791" s="4"/>
      <c r="BL791" s="4"/>
      <c r="BM791" s="4"/>
      <c r="BN791" s="4"/>
      <c r="BO791" s="4"/>
      <c r="BP791" s="4"/>
      <c r="BQ791" s="4"/>
      <c r="BR791" s="4"/>
      <c r="BS791" s="4"/>
      <c r="BT791" s="4"/>
      <c r="BU791" s="4"/>
      <c r="BV791" s="4"/>
    </row>
    <row r="792" spans="29:74" ht="13.2"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  <c r="BK792" s="4"/>
      <c r="BL792" s="4"/>
      <c r="BM792" s="4"/>
      <c r="BN792" s="4"/>
      <c r="BO792" s="4"/>
      <c r="BP792" s="4"/>
      <c r="BQ792" s="4"/>
      <c r="BR792" s="4"/>
      <c r="BS792" s="4"/>
      <c r="BT792" s="4"/>
      <c r="BU792" s="4"/>
      <c r="BV792" s="4"/>
    </row>
    <row r="793" spans="29:74" ht="13.2"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  <c r="BK793" s="4"/>
      <c r="BL793" s="4"/>
      <c r="BM793" s="4"/>
      <c r="BN793" s="4"/>
      <c r="BO793" s="4"/>
      <c r="BP793" s="4"/>
      <c r="BQ793" s="4"/>
      <c r="BR793" s="4"/>
      <c r="BS793" s="4"/>
      <c r="BT793" s="4"/>
      <c r="BU793" s="4"/>
      <c r="BV793" s="4"/>
    </row>
    <row r="794" spans="29:74" ht="13.2"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  <c r="BK794" s="4"/>
      <c r="BL794" s="4"/>
      <c r="BM794" s="4"/>
      <c r="BN794" s="4"/>
      <c r="BO794" s="4"/>
      <c r="BP794" s="4"/>
      <c r="BQ794" s="4"/>
      <c r="BR794" s="4"/>
      <c r="BS794" s="4"/>
      <c r="BT794" s="4"/>
      <c r="BU794" s="4"/>
      <c r="BV794" s="4"/>
    </row>
    <row r="795" spans="29:74" ht="13.2"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  <c r="BK795" s="4"/>
      <c r="BL795" s="4"/>
      <c r="BM795" s="4"/>
      <c r="BN795" s="4"/>
      <c r="BO795" s="4"/>
      <c r="BP795" s="4"/>
      <c r="BQ795" s="4"/>
      <c r="BR795" s="4"/>
      <c r="BS795" s="4"/>
      <c r="BT795" s="4"/>
      <c r="BU795" s="4"/>
      <c r="BV795" s="4"/>
    </row>
    <row r="796" spans="29:74" ht="13.2"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  <c r="BK796" s="4"/>
      <c r="BL796" s="4"/>
      <c r="BM796" s="4"/>
      <c r="BN796" s="4"/>
      <c r="BO796" s="4"/>
      <c r="BP796" s="4"/>
      <c r="BQ796" s="4"/>
      <c r="BR796" s="4"/>
      <c r="BS796" s="4"/>
      <c r="BT796" s="4"/>
      <c r="BU796" s="4"/>
      <c r="BV796" s="4"/>
    </row>
    <row r="797" spans="29:74" ht="13.2"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  <c r="BK797" s="4"/>
      <c r="BL797" s="4"/>
      <c r="BM797" s="4"/>
      <c r="BN797" s="4"/>
      <c r="BO797" s="4"/>
      <c r="BP797" s="4"/>
      <c r="BQ797" s="4"/>
      <c r="BR797" s="4"/>
      <c r="BS797" s="4"/>
      <c r="BT797" s="4"/>
      <c r="BU797" s="4"/>
      <c r="BV797" s="4"/>
    </row>
    <row r="798" spans="29:74" ht="13.2"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  <c r="BK798" s="4"/>
      <c r="BL798" s="4"/>
      <c r="BM798" s="4"/>
      <c r="BN798" s="4"/>
      <c r="BO798" s="4"/>
      <c r="BP798" s="4"/>
      <c r="BQ798" s="4"/>
      <c r="BR798" s="4"/>
      <c r="BS798" s="4"/>
      <c r="BT798" s="4"/>
      <c r="BU798" s="4"/>
      <c r="BV798" s="4"/>
    </row>
    <row r="799" spans="29:74" ht="13.2"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  <c r="BK799" s="4"/>
      <c r="BL799" s="4"/>
      <c r="BM799" s="4"/>
      <c r="BN799" s="4"/>
      <c r="BO799" s="4"/>
      <c r="BP799" s="4"/>
      <c r="BQ799" s="4"/>
      <c r="BR799" s="4"/>
      <c r="BS799" s="4"/>
      <c r="BT799" s="4"/>
      <c r="BU799" s="4"/>
      <c r="BV799" s="4"/>
    </row>
    <row r="800" spans="29:74" ht="13.2"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  <c r="BK800" s="4"/>
      <c r="BL800" s="4"/>
      <c r="BM800" s="4"/>
      <c r="BN800" s="4"/>
      <c r="BO800" s="4"/>
      <c r="BP800" s="4"/>
      <c r="BQ800" s="4"/>
      <c r="BR800" s="4"/>
      <c r="BS800" s="4"/>
      <c r="BT800" s="4"/>
      <c r="BU800" s="4"/>
      <c r="BV800" s="4"/>
    </row>
    <row r="801" spans="29:74" ht="13.2"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  <c r="BK801" s="4"/>
      <c r="BL801" s="4"/>
      <c r="BM801" s="4"/>
      <c r="BN801" s="4"/>
      <c r="BO801" s="4"/>
      <c r="BP801" s="4"/>
      <c r="BQ801" s="4"/>
      <c r="BR801" s="4"/>
      <c r="BS801" s="4"/>
      <c r="BT801" s="4"/>
      <c r="BU801" s="4"/>
      <c r="BV801" s="4"/>
    </row>
    <row r="802" spans="29:74" ht="13.2"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  <c r="BK802" s="4"/>
      <c r="BL802" s="4"/>
      <c r="BM802" s="4"/>
      <c r="BN802" s="4"/>
      <c r="BO802" s="4"/>
      <c r="BP802" s="4"/>
      <c r="BQ802" s="4"/>
      <c r="BR802" s="4"/>
      <c r="BS802" s="4"/>
      <c r="BT802" s="4"/>
      <c r="BU802" s="4"/>
      <c r="BV802" s="4"/>
    </row>
    <row r="803" spans="29:74" ht="13.2"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  <c r="BK803" s="4"/>
      <c r="BL803" s="4"/>
      <c r="BM803" s="4"/>
      <c r="BN803" s="4"/>
      <c r="BO803" s="4"/>
      <c r="BP803" s="4"/>
      <c r="BQ803" s="4"/>
      <c r="BR803" s="4"/>
      <c r="BS803" s="4"/>
      <c r="BT803" s="4"/>
      <c r="BU803" s="4"/>
      <c r="BV803" s="4"/>
    </row>
    <row r="804" spans="29:74" ht="13.2"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  <c r="BK804" s="4"/>
      <c r="BL804" s="4"/>
      <c r="BM804" s="4"/>
      <c r="BN804" s="4"/>
      <c r="BO804" s="4"/>
      <c r="BP804" s="4"/>
      <c r="BQ804" s="4"/>
      <c r="BR804" s="4"/>
      <c r="BS804" s="4"/>
      <c r="BT804" s="4"/>
      <c r="BU804" s="4"/>
      <c r="BV804" s="4"/>
    </row>
    <row r="805" spans="29:74" ht="13.2"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  <c r="BK805" s="4"/>
      <c r="BL805" s="4"/>
      <c r="BM805" s="4"/>
      <c r="BN805" s="4"/>
      <c r="BO805" s="4"/>
      <c r="BP805" s="4"/>
      <c r="BQ805" s="4"/>
      <c r="BR805" s="4"/>
      <c r="BS805" s="4"/>
      <c r="BT805" s="4"/>
      <c r="BU805" s="4"/>
      <c r="BV805" s="4"/>
    </row>
    <row r="806" spans="29:74" ht="13.2"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  <c r="BK806" s="4"/>
      <c r="BL806" s="4"/>
      <c r="BM806" s="4"/>
      <c r="BN806" s="4"/>
      <c r="BO806" s="4"/>
      <c r="BP806" s="4"/>
      <c r="BQ806" s="4"/>
      <c r="BR806" s="4"/>
      <c r="BS806" s="4"/>
      <c r="BT806" s="4"/>
      <c r="BU806" s="4"/>
      <c r="BV806" s="4"/>
    </row>
    <row r="807" spans="29:74" ht="13.2"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  <c r="BK807" s="4"/>
      <c r="BL807" s="4"/>
      <c r="BM807" s="4"/>
      <c r="BN807" s="4"/>
      <c r="BO807" s="4"/>
      <c r="BP807" s="4"/>
      <c r="BQ807" s="4"/>
      <c r="BR807" s="4"/>
      <c r="BS807" s="4"/>
      <c r="BT807" s="4"/>
      <c r="BU807" s="4"/>
      <c r="BV807" s="4"/>
    </row>
    <row r="808" spans="29:74" ht="13.2"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  <c r="BK808" s="4"/>
      <c r="BL808" s="4"/>
      <c r="BM808" s="4"/>
      <c r="BN808" s="4"/>
      <c r="BO808" s="4"/>
      <c r="BP808" s="4"/>
      <c r="BQ808" s="4"/>
      <c r="BR808" s="4"/>
      <c r="BS808" s="4"/>
      <c r="BT808" s="4"/>
      <c r="BU808" s="4"/>
      <c r="BV808" s="4"/>
    </row>
    <row r="809" spans="29:74" ht="13.2"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  <c r="BK809" s="4"/>
      <c r="BL809" s="4"/>
      <c r="BM809" s="4"/>
      <c r="BN809" s="4"/>
      <c r="BO809" s="4"/>
      <c r="BP809" s="4"/>
      <c r="BQ809" s="4"/>
      <c r="BR809" s="4"/>
      <c r="BS809" s="4"/>
      <c r="BT809" s="4"/>
      <c r="BU809" s="4"/>
      <c r="BV809" s="4"/>
    </row>
    <row r="810" spans="29:74" ht="13.2"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  <c r="BK810" s="4"/>
      <c r="BL810" s="4"/>
      <c r="BM810" s="4"/>
      <c r="BN810" s="4"/>
      <c r="BO810" s="4"/>
      <c r="BP810" s="4"/>
      <c r="BQ810" s="4"/>
      <c r="BR810" s="4"/>
      <c r="BS810" s="4"/>
      <c r="BT810" s="4"/>
      <c r="BU810" s="4"/>
      <c r="BV810" s="4"/>
    </row>
    <row r="811" spans="29:74" ht="13.2"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  <c r="BK811" s="4"/>
      <c r="BL811" s="4"/>
      <c r="BM811" s="4"/>
      <c r="BN811" s="4"/>
      <c r="BO811" s="4"/>
      <c r="BP811" s="4"/>
      <c r="BQ811" s="4"/>
      <c r="BR811" s="4"/>
      <c r="BS811" s="4"/>
      <c r="BT811" s="4"/>
      <c r="BU811" s="4"/>
      <c r="BV811" s="4"/>
    </row>
    <row r="812" spans="29:74" ht="13.2"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  <c r="BK812" s="4"/>
      <c r="BL812" s="4"/>
      <c r="BM812" s="4"/>
      <c r="BN812" s="4"/>
      <c r="BO812" s="4"/>
      <c r="BP812" s="4"/>
      <c r="BQ812" s="4"/>
      <c r="BR812" s="4"/>
      <c r="BS812" s="4"/>
      <c r="BT812" s="4"/>
      <c r="BU812" s="4"/>
      <c r="BV812" s="4"/>
    </row>
    <row r="813" spans="29:74" ht="13.2"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  <c r="BK813" s="4"/>
      <c r="BL813" s="4"/>
      <c r="BM813" s="4"/>
      <c r="BN813" s="4"/>
      <c r="BO813" s="4"/>
      <c r="BP813" s="4"/>
      <c r="BQ813" s="4"/>
      <c r="BR813" s="4"/>
      <c r="BS813" s="4"/>
      <c r="BT813" s="4"/>
      <c r="BU813" s="4"/>
      <c r="BV813" s="4"/>
    </row>
    <row r="814" spans="29:74" ht="13.2"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  <c r="BK814" s="4"/>
      <c r="BL814" s="4"/>
      <c r="BM814" s="4"/>
      <c r="BN814" s="4"/>
      <c r="BO814" s="4"/>
      <c r="BP814" s="4"/>
      <c r="BQ814" s="4"/>
      <c r="BR814" s="4"/>
      <c r="BS814" s="4"/>
      <c r="BT814" s="4"/>
      <c r="BU814" s="4"/>
      <c r="BV814" s="4"/>
    </row>
    <row r="815" spans="29:74" ht="13.2"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  <c r="BK815" s="4"/>
      <c r="BL815" s="4"/>
      <c r="BM815" s="4"/>
      <c r="BN815" s="4"/>
      <c r="BO815" s="4"/>
      <c r="BP815" s="4"/>
      <c r="BQ815" s="4"/>
      <c r="BR815" s="4"/>
      <c r="BS815" s="4"/>
      <c r="BT815" s="4"/>
      <c r="BU815" s="4"/>
      <c r="BV815" s="4"/>
    </row>
    <row r="816" spans="29:74" ht="13.2"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  <c r="BK816" s="4"/>
      <c r="BL816" s="4"/>
      <c r="BM816" s="4"/>
      <c r="BN816" s="4"/>
      <c r="BO816" s="4"/>
      <c r="BP816" s="4"/>
      <c r="BQ816" s="4"/>
      <c r="BR816" s="4"/>
      <c r="BS816" s="4"/>
      <c r="BT816" s="4"/>
      <c r="BU816" s="4"/>
      <c r="BV816" s="4"/>
    </row>
    <row r="817" spans="29:74" ht="13.2"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  <c r="BK817" s="4"/>
      <c r="BL817" s="4"/>
      <c r="BM817" s="4"/>
      <c r="BN817" s="4"/>
      <c r="BO817" s="4"/>
      <c r="BP817" s="4"/>
      <c r="BQ817" s="4"/>
      <c r="BR817" s="4"/>
      <c r="BS817" s="4"/>
      <c r="BT817" s="4"/>
      <c r="BU817" s="4"/>
      <c r="BV817" s="4"/>
    </row>
    <row r="818" spans="29:74" ht="13.2"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  <c r="BK818" s="4"/>
      <c r="BL818" s="4"/>
      <c r="BM818" s="4"/>
      <c r="BN818" s="4"/>
      <c r="BO818" s="4"/>
      <c r="BP818" s="4"/>
      <c r="BQ818" s="4"/>
      <c r="BR818" s="4"/>
      <c r="BS818" s="4"/>
      <c r="BT818" s="4"/>
      <c r="BU818" s="4"/>
      <c r="BV818" s="4"/>
    </row>
    <row r="819" spans="29:74" ht="13.2"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  <c r="BK819" s="4"/>
      <c r="BL819" s="4"/>
      <c r="BM819" s="4"/>
      <c r="BN819" s="4"/>
      <c r="BO819" s="4"/>
      <c r="BP819" s="4"/>
      <c r="BQ819" s="4"/>
      <c r="BR819" s="4"/>
      <c r="BS819" s="4"/>
      <c r="BT819" s="4"/>
      <c r="BU819" s="4"/>
      <c r="BV819" s="4"/>
    </row>
    <row r="820" spans="29:74" ht="13.2"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  <c r="BK820" s="4"/>
      <c r="BL820" s="4"/>
      <c r="BM820" s="4"/>
      <c r="BN820" s="4"/>
      <c r="BO820" s="4"/>
      <c r="BP820" s="4"/>
      <c r="BQ820" s="4"/>
      <c r="BR820" s="4"/>
      <c r="BS820" s="4"/>
      <c r="BT820" s="4"/>
      <c r="BU820" s="4"/>
      <c r="BV820" s="4"/>
    </row>
    <row r="821" spans="29:74" ht="13.2"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  <c r="BK821" s="4"/>
      <c r="BL821" s="4"/>
      <c r="BM821" s="4"/>
      <c r="BN821" s="4"/>
      <c r="BO821" s="4"/>
      <c r="BP821" s="4"/>
      <c r="BQ821" s="4"/>
      <c r="BR821" s="4"/>
      <c r="BS821" s="4"/>
      <c r="BT821" s="4"/>
      <c r="BU821" s="4"/>
      <c r="BV821" s="4"/>
    </row>
    <row r="822" spans="29:74" ht="13.2"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  <c r="BK822" s="4"/>
      <c r="BL822" s="4"/>
      <c r="BM822" s="4"/>
      <c r="BN822" s="4"/>
      <c r="BO822" s="4"/>
      <c r="BP822" s="4"/>
      <c r="BQ822" s="4"/>
      <c r="BR822" s="4"/>
      <c r="BS822" s="4"/>
      <c r="BT822" s="4"/>
      <c r="BU822" s="4"/>
      <c r="BV822" s="4"/>
    </row>
    <row r="823" spans="29:74" ht="13.2"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  <c r="BK823" s="4"/>
      <c r="BL823" s="4"/>
      <c r="BM823" s="4"/>
      <c r="BN823" s="4"/>
      <c r="BO823" s="4"/>
      <c r="BP823" s="4"/>
      <c r="BQ823" s="4"/>
      <c r="BR823" s="4"/>
      <c r="BS823" s="4"/>
      <c r="BT823" s="4"/>
      <c r="BU823" s="4"/>
      <c r="BV823" s="4"/>
    </row>
    <row r="824" spans="29:74" ht="13.2"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  <c r="BK824" s="4"/>
      <c r="BL824" s="4"/>
      <c r="BM824" s="4"/>
      <c r="BN824" s="4"/>
      <c r="BO824" s="4"/>
      <c r="BP824" s="4"/>
      <c r="BQ824" s="4"/>
      <c r="BR824" s="4"/>
      <c r="BS824" s="4"/>
      <c r="BT824" s="4"/>
      <c r="BU824" s="4"/>
      <c r="BV824" s="4"/>
    </row>
    <row r="825" spans="29:74" ht="13.2"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  <c r="BK825" s="4"/>
      <c r="BL825" s="4"/>
      <c r="BM825" s="4"/>
      <c r="BN825" s="4"/>
      <c r="BO825" s="4"/>
      <c r="BP825" s="4"/>
      <c r="BQ825" s="4"/>
      <c r="BR825" s="4"/>
      <c r="BS825" s="4"/>
      <c r="BT825" s="4"/>
      <c r="BU825" s="4"/>
      <c r="BV825" s="4"/>
    </row>
    <row r="826" spans="29:74" ht="13.2"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  <c r="BK826" s="4"/>
      <c r="BL826" s="4"/>
      <c r="BM826" s="4"/>
      <c r="BN826" s="4"/>
      <c r="BO826" s="4"/>
      <c r="BP826" s="4"/>
      <c r="BQ826" s="4"/>
      <c r="BR826" s="4"/>
      <c r="BS826" s="4"/>
      <c r="BT826" s="4"/>
      <c r="BU826" s="4"/>
      <c r="BV826" s="4"/>
    </row>
    <row r="827" spans="29:74" ht="13.2"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  <c r="BK827" s="4"/>
      <c r="BL827" s="4"/>
      <c r="BM827" s="4"/>
      <c r="BN827" s="4"/>
      <c r="BO827" s="4"/>
      <c r="BP827" s="4"/>
      <c r="BQ827" s="4"/>
      <c r="BR827" s="4"/>
      <c r="BS827" s="4"/>
      <c r="BT827" s="4"/>
      <c r="BU827" s="4"/>
      <c r="BV827" s="4"/>
    </row>
    <row r="828" spans="29:74" ht="13.2"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  <c r="BK828" s="4"/>
      <c r="BL828" s="4"/>
      <c r="BM828" s="4"/>
      <c r="BN828" s="4"/>
      <c r="BO828" s="4"/>
      <c r="BP828" s="4"/>
      <c r="BQ828" s="4"/>
      <c r="BR828" s="4"/>
      <c r="BS828" s="4"/>
      <c r="BT828" s="4"/>
      <c r="BU828" s="4"/>
      <c r="BV828" s="4"/>
    </row>
    <row r="829" spans="29:74" ht="13.2"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  <c r="BK829" s="4"/>
      <c r="BL829" s="4"/>
      <c r="BM829" s="4"/>
      <c r="BN829" s="4"/>
      <c r="BO829" s="4"/>
      <c r="BP829" s="4"/>
      <c r="BQ829" s="4"/>
      <c r="BR829" s="4"/>
      <c r="BS829" s="4"/>
      <c r="BT829" s="4"/>
      <c r="BU829" s="4"/>
      <c r="BV829" s="4"/>
    </row>
    <row r="830" spans="29:74" ht="13.2"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  <c r="BK830" s="4"/>
      <c r="BL830" s="4"/>
      <c r="BM830" s="4"/>
      <c r="BN830" s="4"/>
      <c r="BO830" s="4"/>
      <c r="BP830" s="4"/>
      <c r="BQ830" s="4"/>
      <c r="BR830" s="4"/>
      <c r="BS830" s="4"/>
      <c r="BT830" s="4"/>
      <c r="BU830" s="4"/>
      <c r="BV830" s="4"/>
    </row>
    <row r="831" spans="29:74" ht="13.2"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  <c r="BK831" s="4"/>
      <c r="BL831" s="4"/>
      <c r="BM831" s="4"/>
      <c r="BN831" s="4"/>
      <c r="BO831" s="4"/>
      <c r="BP831" s="4"/>
      <c r="BQ831" s="4"/>
      <c r="BR831" s="4"/>
      <c r="BS831" s="4"/>
      <c r="BT831" s="4"/>
      <c r="BU831" s="4"/>
      <c r="BV831" s="4"/>
    </row>
    <row r="832" spans="29:74" ht="13.2"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  <c r="BK832" s="4"/>
      <c r="BL832" s="4"/>
      <c r="BM832" s="4"/>
      <c r="BN832" s="4"/>
      <c r="BO832" s="4"/>
      <c r="BP832" s="4"/>
      <c r="BQ832" s="4"/>
      <c r="BR832" s="4"/>
      <c r="BS832" s="4"/>
      <c r="BT832" s="4"/>
      <c r="BU832" s="4"/>
      <c r="BV832" s="4"/>
    </row>
    <row r="833" spans="29:74" ht="13.2"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  <c r="BK833" s="4"/>
      <c r="BL833" s="4"/>
      <c r="BM833" s="4"/>
      <c r="BN833" s="4"/>
      <c r="BO833" s="4"/>
      <c r="BP833" s="4"/>
      <c r="BQ833" s="4"/>
      <c r="BR833" s="4"/>
      <c r="BS833" s="4"/>
      <c r="BT833" s="4"/>
      <c r="BU833" s="4"/>
      <c r="BV833" s="4"/>
    </row>
    <row r="834" spans="29:74" ht="13.2"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  <c r="BK834" s="4"/>
      <c r="BL834" s="4"/>
      <c r="BM834" s="4"/>
      <c r="BN834" s="4"/>
      <c r="BO834" s="4"/>
      <c r="BP834" s="4"/>
      <c r="BQ834" s="4"/>
      <c r="BR834" s="4"/>
      <c r="BS834" s="4"/>
      <c r="BT834" s="4"/>
      <c r="BU834" s="4"/>
      <c r="BV834" s="4"/>
    </row>
    <row r="835" spans="29:74" ht="13.2"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  <c r="BK835" s="4"/>
      <c r="BL835" s="4"/>
      <c r="BM835" s="4"/>
      <c r="BN835" s="4"/>
      <c r="BO835" s="4"/>
      <c r="BP835" s="4"/>
      <c r="BQ835" s="4"/>
      <c r="BR835" s="4"/>
      <c r="BS835" s="4"/>
      <c r="BT835" s="4"/>
      <c r="BU835" s="4"/>
      <c r="BV835" s="4"/>
    </row>
    <row r="836" spans="29:74" ht="13.2"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  <c r="BK836" s="4"/>
      <c r="BL836" s="4"/>
      <c r="BM836" s="4"/>
      <c r="BN836" s="4"/>
      <c r="BO836" s="4"/>
      <c r="BP836" s="4"/>
      <c r="BQ836" s="4"/>
      <c r="BR836" s="4"/>
      <c r="BS836" s="4"/>
      <c r="BT836" s="4"/>
      <c r="BU836" s="4"/>
      <c r="BV836" s="4"/>
    </row>
    <row r="837" spans="29:74" ht="13.2"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  <c r="BK837" s="4"/>
      <c r="BL837" s="4"/>
      <c r="BM837" s="4"/>
      <c r="BN837" s="4"/>
      <c r="BO837" s="4"/>
      <c r="BP837" s="4"/>
      <c r="BQ837" s="4"/>
      <c r="BR837" s="4"/>
      <c r="BS837" s="4"/>
      <c r="BT837" s="4"/>
      <c r="BU837" s="4"/>
      <c r="BV837" s="4"/>
    </row>
    <row r="838" spans="29:74" ht="13.2"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  <c r="BK838" s="4"/>
      <c r="BL838" s="4"/>
      <c r="BM838" s="4"/>
      <c r="BN838" s="4"/>
      <c r="BO838" s="4"/>
      <c r="BP838" s="4"/>
      <c r="BQ838" s="4"/>
      <c r="BR838" s="4"/>
      <c r="BS838" s="4"/>
      <c r="BT838" s="4"/>
      <c r="BU838" s="4"/>
      <c r="BV838" s="4"/>
    </row>
    <row r="839" spans="29:74" ht="13.2"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  <c r="BK839" s="4"/>
      <c r="BL839" s="4"/>
      <c r="BM839" s="4"/>
      <c r="BN839" s="4"/>
      <c r="BO839" s="4"/>
      <c r="BP839" s="4"/>
      <c r="BQ839" s="4"/>
      <c r="BR839" s="4"/>
      <c r="BS839" s="4"/>
      <c r="BT839" s="4"/>
      <c r="BU839" s="4"/>
      <c r="BV839" s="4"/>
    </row>
    <row r="840" spans="29:74" ht="13.2"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  <c r="BK840" s="4"/>
      <c r="BL840" s="4"/>
      <c r="BM840" s="4"/>
      <c r="BN840" s="4"/>
      <c r="BO840" s="4"/>
      <c r="BP840" s="4"/>
      <c r="BQ840" s="4"/>
      <c r="BR840" s="4"/>
      <c r="BS840" s="4"/>
      <c r="BT840" s="4"/>
      <c r="BU840" s="4"/>
      <c r="BV840" s="4"/>
    </row>
    <row r="841" spans="29:74" ht="13.2"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  <c r="BK841" s="4"/>
      <c r="BL841" s="4"/>
      <c r="BM841" s="4"/>
      <c r="BN841" s="4"/>
      <c r="BO841" s="4"/>
      <c r="BP841" s="4"/>
      <c r="BQ841" s="4"/>
      <c r="BR841" s="4"/>
      <c r="BS841" s="4"/>
      <c r="BT841" s="4"/>
      <c r="BU841" s="4"/>
      <c r="BV841" s="4"/>
    </row>
    <row r="842" spans="29:74" ht="13.2"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  <c r="BK842" s="4"/>
      <c r="BL842" s="4"/>
      <c r="BM842" s="4"/>
      <c r="BN842" s="4"/>
      <c r="BO842" s="4"/>
      <c r="BP842" s="4"/>
      <c r="BQ842" s="4"/>
      <c r="BR842" s="4"/>
      <c r="BS842" s="4"/>
      <c r="BT842" s="4"/>
      <c r="BU842" s="4"/>
      <c r="BV842" s="4"/>
    </row>
    <row r="843" spans="29:74" ht="13.2"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  <c r="BK843" s="4"/>
      <c r="BL843" s="4"/>
      <c r="BM843" s="4"/>
      <c r="BN843" s="4"/>
      <c r="BO843" s="4"/>
      <c r="BP843" s="4"/>
      <c r="BQ843" s="4"/>
      <c r="BR843" s="4"/>
      <c r="BS843" s="4"/>
      <c r="BT843" s="4"/>
      <c r="BU843" s="4"/>
      <c r="BV843" s="4"/>
    </row>
    <row r="844" spans="29:74" ht="13.2"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  <c r="BK844" s="4"/>
      <c r="BL844" s="4"/>
      <c r="BM844" s="4"/>
      <c r="BN844" s="4"/>
      <c r="BO844" s="4"/>
      <c r="BP844" s="4"/>
      <c r="BQ844" s="4"/>
      <c r="BR844" s="4"/>
      <c r="BS844" s="4"/>
      <c r="BT844" s="4"/>
      <c r="BU844" s="4"/>
      <c r="BV844" s="4"/>
    </row>
    <row r="845" spans="29:74" ht="13.2"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  <c r="BK845" s="4"/>
      <c r="BL845" s="4"/>
      <c r="BM845" s="4"/>
      <c r="BN845" s="4"/>
      <c r="BO845" s="4"/>
      <c r="BP845" s="4"/>
      <c r="BQ845" s="4"/>
      <c r="BR845" s="4"/>
      <c r="BS845" s="4"/>
      <c r="BT845" s="4"/>
      <c r="BU845" s="4"/>
      <c r="BV845" s="4"/>
    </row>
    <row r="846" spans="29:74" ht="13.2"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  <c r="BK846" s="4"/>
      <c r="BL846" s="4"/>
      <c r="BM846" s="4"/>
      <c r="BN846" s="4"/>
      <c r="BO846" s="4"/>
      <c r="BP846" s="4"/>
      <c r="BQ846" s="4"/>
      <c r="BR846" s="4"/>
      <c r="BS846" s="4"/>
      <c r="BT846" s="4"/>
      <c r="BU846" s="4"/>
      <c r="BV846" s="4"/>
    </row>
    <row r="847" spans="29:74" ht="13.2"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  <c r="BK847" s="4"/>
      <c r="BL847" s="4"/>
      <c r="BM847" s="4"/>
      <c r="BN847" s="4"/>
      <c r="BO847" s="4"/>
      <c r="BP847" s="4"/>
      <c r="BQ847" s="4"/>
      <c r="BR847" s="4"/>
      <c r="BS847" s="4"/>
      <c r="BT847" s="4"/>
      <c r="BU847" s="4"/>
      <c r="BV847" s="4"/>
    </row>
    <row r="848" spans="29:74" ht="13.2"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  <c r="BK848" s="4"/>
      <c r="BL848" s="4"/>
      <c r="BM848" s="4"/>
      <c r="BN848" s="4"/>
      <c r="BO848" s="4"/>
      <c r="BP848" s="4"/>
      <c r="BQ848" s="4"/>
      <c r="BR848" s="4"/>
      <c r="BS848" s="4"/>
      <c r="BT848" s="4"/>
      <c r="BU848" s="4"/>
      <c r="BV848" s="4"/>
    </row>
    <row r="849" spans="29:74" ht="13.2"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  <c r="BK849" s="4"/>
      <c r="BL849" s="4"/>
      <c r="BM849" s="4"/>
      <c r="BN849" s="4"/>
      <c r="BO849" s="4"/>
      <c r="BP849" s="4"/>
      <c r="BQ849" s="4"/>
      <c r="BR849" s="4"/>
      <c r="BS849" s="4"/>
      <c r="BT849" s="4"/>
      <c r="BU849" s="4"/>
      <c r="BV849" s="4"/>
    </row>
    <row r="850" spans="29:74" ht="13.2"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  <c r="BK850" s="4"/>
      <c r="BL850" s="4"/>
      <c r="BM850" s="4"/>
      <c r="BN850" s="4"/>
      <c r="BO850" s="4"/>
      <c r="BP850" s="4"/>
      <c r="BQ850" s="4"/>
      <c r="BR850" s="4"/>
      <c r="BS850" s="4"/>
      <c r="BT850" s="4"/>
      <c r="BU850" s="4"/>
      <c r="BV850" s="4"/>
    </row>
    <row r="851" spans="29:74" ht="13.2"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  <c r="BK851" s="4"/>
      <c r="BL851" s="4"/>
      <c r="BM851" s="4"/>
      <c r="BN851" s="4"/>
      <c r="BO851" s="4"/>
      <c r="BP851" s="4"/>
      <c r="BQ851" s="4"/>
      <c r="BR851" s="4"/>
      <c r="BS851" s="4"/>
      <c r="BT851" s="4"/>
      <c r="BU851" s="4"/>
      <c r="BV851" s="4"/>
    </row>
    <row r="852" spans="29:74" ht="13.2"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  <c r="BK852" s="4"/>
      <c r="BL852" s="4"/>
      <c r="BM852" s="4"/>
      <c r="BN852" s="4"/>
      <c r="BO852" s="4"/>
      <c r="BP852" s="4"/>
      <c r="BQ852" s="4"/>
      <c r="BR852" s="4"/>
      <c r="BS852" s="4"/>
      <c r="BT852" s="4"/>
      <c r="BU852" s="4"/>
      <c r="BV852" s="4"/>
    </row>
    <row r="853" spans="29:74" ht="13.2"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  <c r="BK853" s="4"/>
      <c r="BL853" s="4"/>
      <c r="BM853" s="4"/>
      <c r="BN853" s="4"/>
      <c r="BO853" s="4"/>
      <c r="BP853" s="4"/>
      <c r="BQ853" s="4"/>
      <c r="BR853" s="4"/>
      <c r="BS853" s="4"/>
      <c r="BT853" s="4"/>
      <c r="BU853" s="4"/>
      <c r="BV853" s="4"/>
    </row>
    <row r="854" spans="29:74" ht="13.2"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  <c r="BK854" s="4"/>
      <c r="BL854" s="4"/>
      <c r="BM854" s="4"/>
      <c r="BN854" s="4"/>
      <c r="BO854" s="4"/>
      <c r="BP854" s="4"/>
      <c r="BQ854" s="4"/>
      <c r="BR854" s="4"/>
      <c r="BS854" s="4"/>
      <c r="BT854" s="4"/>
      <c r="BU854" s="4"/>
      <c r="BV854" s="4"/>
    </row>
    <row r="855" spans="29:74" ht="13.2"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  <c r="BK855" s="4"/>
      <c r="BL855" s="4"/>
      <c r="BM855" s="4"/>
      <c r="BN855" s="4"/>
      <c r="BO855" s="4"/>
      <c r="BP855" s="4"/>
      <c r="BQ855" s="4"/>
      <c r="BR855" s="4"/>
      <c r="BS855" s="4"/>
      <c r="BT855" s="4"/>
      <c r="BU855" s="4"/>
      <c r="BV855" s="4"/>
    </row>
    <row r="856" spans="29:74" ht="13.2"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  <c r="BK856" s="4"/>
      <c r="BL856" s="4"/>
      <c r="BM856" s="4"/>
      <c r="BN856" s="4"/>
      <c r="BO856" s="4"/>
      <c r="BP856" s="4"/>
      <c r="BQ856" s="4"/>
      <c r="BR856" s="4"/>
      <c r="BS856" s="4"/>
      <c r="BT856" s="4"/>
      <c r="BU856" s="4"/>
      <c r="BV856" s="4"/>
    </row>
    <row r="857" spans="29:74" ht="13.2"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  <c r="BK857" s="4"/>
      <c r="BL857" s="4"/>
      <c r="BM857" s="4"/>
      <c r="BN857" s="4"/>
      <c r="BO857" s="4"/>
      <c r="BP857" s="4"/>
      <c r="BQ857" s="4"/>
      <c r="BR857" s="4"/>
      <c r="BS857" s="4"/>
      <c r="BT857" s="4"/>
      <c r="BU857" s="4"/>
      <c r="BV857" s="4"/>
    </row>
    <row r="858" spans="29:74" ht="13.2"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  <c r="BK858" s="4"/>
      <c r="BL858" s="4"/>
      <c r="BM858" s="4"/>
      <c r="BN858" s="4"/>
      <c r="BO858" s="4"/>
      <c r="BP858" s="4"/>
      <c r="BQ858" s="4"/>
      <c r="BR858" s="4"/>
      <c r="BS858" s="4"/>
      <c r="BT858" s="4"/>
      <c r="BU858" s="4"/>
      <c r="BV858" s="4"/>
    </row>
    <row r="859" spans="29:74" ht="13.2"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  <c r="BK859" s="4"/>
      <c r="BL859" s="4"/>
      <c r="BM859" s="4"/>
      <c r="BN859" s="4"/>
      <c r="BO859" s="4"/>
      <c r="BP859" s="4"/>
      <c r="BQ859" s="4"/>
      <c r="BR859" s="4"/>
      <c r="BS859" s="4"/>
      <c r="BT859" s="4"/>
      <c r="BU859" s="4"/>
      <c r="BV859" s="4"/>
    </row>
    <row r="860" spans="29:74" ht="13.2"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  <c r="BK860" s="4"/>
      <c r="BL860" s="4"/>
      <c r="BM860" s="4"/>
      <c r="BN860" s="4"/>
      <c r="BO860" s="4"/>
      <c r="BP860" s="4"/>
      <c r="BQ860" s="4"/>
      <c r="BR860" s="4"/>
      <c r="BS860" s="4"/>
      <c r="BT860" s="4"/>
      <c r="BU860" s="4"/>
      <c r="BV860" s="4"/>
    </row>
    <row r="861" spans="29:74" ht="13.2"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  <c r="BK861" s="4"/>
      <c r="BL861" s="4"/>
      <c r="BM861" s="4"/>
      <c r="BN861" s="4"/>
      <c r="BO861" s="4"/>
      <c r="BP861" s="4"/>
      <c r="BQ861" s="4"/>
      <c r="BR861" s="4"/>
      <c r="BS861" s="4"/>
      <c r="BT861" s="4"/>
      <c r="BU861" s="4"/>
      <c r="BV861" s="4"/>
    </row>
    <row r="862" spans="29:74" ht="13.2"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  <c r="BK862" s="4"/>
      <c r="BL862" s="4"/>
      <c r="BM862" s="4"/>
      <c r="BN862" s="4"/>
      <c r="BO862" s="4"/>
      <c r="BP862" s="4"/>
      <c r="BQ862" s="4"/>
      <c r="BR862" s="4"/>
      <c r="BS862" s="4"/>
      <c r="BT862" s="4"/>
      <c r="BU862" s="4"/>
      <c r="BV862" s="4"/>
    </row>
    <row r="863" spans="29:74" ht="13.2"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  <c r="BK863" s="4"/>
      <c r="BL863" s="4"/>
      <c r="BM863" s="4"/>
      <c r="BN863" s="4"/>
      <c r="BO863" s="4"/>
      <c r="BP863" s="4"/>
      <c r="BQ863" s="4"/>
      <c r="BR863" s="4"/>
      <c r="BS863" s="4"/>
      <c r="BT863" s="4"/>
      <c r="BU863" s="4"/>
      <c r="BV863" s="4"/>
    </row>
    <row r="864" spans="29:74" ht="13.2"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  <c r="BK864" s="4"/>
      <c r="BL864" s="4"/>
      <c r="BM864" s="4"/>
      <c r="BN864" s="4"/>
      <c r="BO864" s="4"/>
      <c r="BP864" s="4"/>
      <c r="BQ864" s="4"/>
      <c r="BR864" s="4"/>
      <c r="BS864" s="4"/>
      <c r="BT864" s="4"/>
      <c r="BU864" s="4"/>
      <c r="BV864" s="4"/>
    </row>
    <row r="865" spans="29:74" ht="13.2"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  <c r="BK865" s="4"/>
      <c r="BL865" s="4"/>
      <c r="BM865" s="4"/>
      <c r="BN865" s="4"/>
      <c r="BO865" s="4"/>
      <c r="BP865" s="4"/>
      <c r="BQ865" s="4"/>
      <c r="BR865" s="4"/>
      <c r="BS865" s="4"/>
      <c r="BT865" s="4"/>
      <c r="BU865" s="4"/>
      <c r="BV865" s="4"/>
    </row>
    <row r="866" spans="29:74" ht="13.2"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  <c r="BK866" s="4"/>
      <c r="BL866" s="4"/>
      <c r="BM866" s="4"/>
      <c r="BN866" s="4"/>
      <c r="BO866" s="4"/>
      <c r="BP866" s="4"/>
      <c r="BQ866" s="4"/>
      <c r="BR866" s="4"/>
      <c r="BS866" s="4"/>
      <c r="BT866" s="4"/>
      <c r="BU866" s="4"/>
      <c r="BV866" s="4"/>
    </row>
    <row r="867" spans="29:74" ht="13.2"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  <c r="BK867" s="4"/>
      <c r="BL867" s="4"/>
      <c r="BM867" s="4"/>
      <c r="BN867" s="4"/>
      <c r="BO867" s="4"/>
      <c r="BP867" s="4"/>
      <c r="BQ867" s="4"/>
      <c r="BR867" s="4"/>
      <c r="BS867" s="4"/>
      <c r="BT867" s="4"/>
      <c r="BU867" s="4"/>
      <c r="BV867" s="4"/>
    </row>
    <row r="868" spans="29:74" ht="13.2"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  <c r="BK868" s="4"/>
      <c r="BL868" s="4"/>
      <c r="BM868" s="4"/>
      <c r="BN868" s="4"/>
      <c r="BO868" s="4"/>
      <c r="BP868" s="4"/>
      <c r="BQ868" s="4"/>
      <c r="BR868" s="4"/>
      <c r="BS868" s="4"/>
      <c r="BT868" s="4"/>
      <c r="BU868" s="4"/>
      <c r="BV868" s="4"/>
    </row>
    <row r="869" spans="29:74" ht="13.2"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  <c r="BK869" s="4"/>
      <c r="BL869" s="4"/>
      <c r="BM869" s="4"/>
      <c r="BN869" s="4"/>
      <c r="BO869" s="4"/>
      <c r="BP869" s="4"/>
      <c r="BQ869" s="4"/>
      <c r="BR869" s="4"/>
      <c r="BS869" s="4"/>
      <c r="BT869" s="4"/>
      <c r="BU869" s="4"/>
      <c r="BV869" s="4"/>
    </row>
    <row r="870" spans="29:74" ht="13.2"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  <c r="BK870" s="4"/>
      <c r="BL870" s="4"/>
      <c r="BM870" s="4"/>
      <c r="BN870" s="4"/>
      <c r="BO870" s="4"/>
      <c r="BP870" s="4"/>
      <c r="BQ870" s="4"/>
      <c r="BR870" s="4"/>
      <c r="BS870" s="4"/>
      <c r="BT870" s="4"/>
      <c r="BU870" s="4"/>
      <c r="BV870" s="4"/>
    </row>
    <row r="871" spans="29:74" ht="13.2"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  <c r="BK871" s="4"/>
      <c r="BL871" s="4"/>
      <c r="BM871" s="4"/>
      <c r="BN871" s="4"/>
      <c r="BO871" s="4"/>
      <c r="BP871" s="4"/>
      <c r="BQ871" s="4"/>
      <c r="BR871" s="4"/>
      <c r="BS871" s="4"/>
      <c r="BT871" s="4"/>
      <c r="BU871" s="4"/>
      <c r="BV871" s="4"/>
    </row>
    <row r="872" spans="29:74" ht="13.2"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  <c r="BK872" s="4"/>
      <c r="BL872" s="4"/>
      <c r="BM872" s="4"/>
      <c r="BN872" s="4"/>
      <c r="BO872" s="4"/>
      <c r="BP872" s="4"/>
      <c r="BQ872" s="4"/>
      <c r="BR872" s="4"/>
      <c r="BS872" s="4"/>
      <c r="BT872" s="4"/>
      <c r="BU872" s="4"/>
      <c r="BV872" s="4"/>
    </row>
    <row r="873" spans="29:74" ht="13.2"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  <c r="BK873" s="4"/>
      <c r="BL873" s="4"/>
      <c r="BM873" s="4"/>
      <c r="BN873" s="4"/>
      <c r="BO873" s="4"/>
      <c r="BP873" s="4"/>
      <c r="BQ873" s="4"/>
      <c r="BR873" s="4"/>
      <c r="BS873" s="4"/>
      <c r="BT873" s="4"/>
      <c r="BU873" s="4"/>
      <c r="BV873" s="4"/>
    </row>
    <row r="874" spans="29:74" ht="13.2"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  <c r="BK874" s="4"/>
      <c r="BL874" s="4"/>
      <c r="BM874" s="4"/>
      <c r="BN874" s="4"/>
      <c r="BO874" s="4"/>
      <c r="BP874" s="4"/>
      <c r="BQ874" s="4"/>
      <c r="BR874" s="4"/>
      <c r="BS874" s="4"/>
      <c r="BT874" s="4"/>
      <c r="BU874" s="4"/>
      <c r="BV874" s="4"/>
    </row>
    <row r="875" spans="29:74" ht="13.2"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  <c r="BK875" s="4"/>
      <c r="BL875" s="4"/>
      <c r="BM875" s="4"/>
      <c r="BN875" s="4"/>
      <c r="BO875" s="4"/>
      <c r="BP875" s="4"/>
      <c r="BQ875" s="4"/>
      <c r="BR875" s="4"/>
      <c r="BS875" s="4"/>
      <c r="BT875" s="4"/>
      <c r="BU875" s="4"/>
      <c r="BV875" s="4"/>
    </row>
    <row r="876" spans="29:74" ht="13.2"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  <c r="BK876" s="4"/>
      <c r="BL876" s="4"/>
      <c r="BM876" s="4"/>
      <c r="BN876" s="4"/>
      <c r="BO876" s="4"/>
      <c r="BP876" s="4"/>
      <c r="BQ876" s="4"/>
      <c r="BR876" s="4"/>
      <c r="BS876" s="4"/>
      <c r="BT876" s="4"/>
      <c r="BU876" s="4"/>
      <c r="BV876" s="4"/>
    </row>
    <row r="877" spans="29:74" ht="13.2"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  <c r="BK877" s="4"/>
      <c r="BL877" s="4"/>
      <c r="BM877" s="4"/>
      <c r="BN877" s="4"/>
      <c r="BO877" s="4"/>
      <c r="BP877" s="4"/>
      <c r="BQ877" s="4"/>
      <c r="BR877" s="4"/>
      <c r="BS877" s="4"/>
      <c r="BT877" s="4"/>
      <c r="BU877" s="4"/>
      <c r="BV877" s="4"/>
    </row>
    <row r="878" spans="29:74" ht="13.2"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  <c r="BK878" s="4"/>
      <c r="BL878" s="4"/>
      <c r="BM878" s="4"/>
      <c r="BN878" s="4"/>
      <c r="BO878" s="4"/>
      <c r="BP878" s="4"/>
      <c r="BQ878" s="4"/>
      <c r="BR878" s="4"/>
      <c r="BS878" s="4"/>
      <c r="BT878" s="4"/>
      <c r="BU878" s="4"/>
      <c r="BV878" s="4"/>
    </row>
    <row r="879" spans="29:74" ht="13.2"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  <c r="BK879" s="4"/>
      <c r="BL879" s="4"/>
      <c r="BM879" s="4"/>
      <c r="BN879" s="4"/>
      <c r="BO879" s="4"/>
      <c r="BP879" s="4"/>
      <c r="BQ879" s="4"/>
      <c r="BR879" s="4"/>
      <c r="BS879" s="4"/>
      <c r="BT879" s="4"/>
      <c r="BU879" s="4"/>
      <c r="BV879" s="4"/>
    </row>
    <row r="880" spans="29:74" ht="13.2"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  <c r="BK880" s="4"/>
      <c r="BL880" s="4"/>
      <c r="BM880" s="4"/>
      <c r="BN880" s="4"/>
      <c r="BO880" s="4"/>
      <c r="BP880" s="4"/>
      <c r="BQ880" s="4"/>
      <c r="BR880" s="4"/>
      <c r="BS880" s="4"/>
      <c r="BT880" s="4"/>
      <c r="BU880" s="4"/>
      <c r="BV880" s="4"/>
    </row>
    <row r="881" spans="29:74" ht="13.2"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  <c r="BK881" s="4"/>
      <c r="BL881" s="4"/>
      <c r="BM881" s="4"/>
      <c r="BN881" s="4"/>
      <c r="BO881" s="4"/>
      <c r="BP881" s="4"/>
      <c r="BQ881" s="4"/>
      <c r="BR881" s="4"/>
      <c r="BS881" s="4"/>
      <c r="BT881" s="4"/>
      <c r="BU881" s="4"/>
      <c r="BV881" s="4"/>
    </row>
    <row r="882" spans="29:74" ht="13.2"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  <c r="BK882" s="4"/>
      <c r="BL882" s="4"/>
      <c r="BM882" s="4"/>
      <c r="BN882" s="4"/>
      <c r="BO882" s="4"/>
      <c r="BP882" s="4"/>
      <c r="BQ882" s="4"/>
      <c r="BR882" s="4"/>
      <c r="BS882" s="4"/>
      <c r="BT882" s="4"/>
      <c r="BU882" s="4"/>
      <c r="BV882" s="4"/>
    </row>
    <row r="883" spans="29:74" ht="13.2"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  <c r="BK883" s="4"/>
      <c r="BL883" s="4"/>
      <c r="BM883" s="4"/>
      <c r="BN883" s="4"/>
      <c r="BO883" s="4"/>
      <c r="BP883" s="4"/>
      <c r="BQ883" s="4"/>
      <c r="BR883" s="4"/>
      <c r="BS883" s="4"/>
      <c r="BT883" s="4"/>
      <c r="BU883" s="4"/>
      <c r="BV883" s="4"/>
    </row>
    <row r="884" spans="29:74" ht="13.2"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  <c r="BK884" s="4"/>
      <c r="BL884" s="4"/>
      <c r="BM884" s="4"/>
      <c r="BN884" s="4"/>
      <c r="BO884" s="4"/>
      <c r="BP884" s="4"/>
      <c r="BQ884" s="4"/>
      <c r="BR884" s="4"/>
      <c r="BS884" s="4"/>
      <c r="BT884" s="4"/>
      <c r="BU884" s="4"/>
      <c r="BV884" s="4"/>
    </row>
    <row r="885" spans="29:74" ht="13.2"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  <c r="BK885" s="4"/>
      <c r="BL885" s="4"/>
      <c r="BM885" s="4"/>
      <c r="BN885" s="4"/>
      <c r="BO885" s="4"/>
      <c r="BP885" s="4"/>
      <c r="BQ885" s="4"/>
      <c r="BR885" s="4"/>
      <c r="BS885" s="4"/>
      <c r="BT885" s="4"/>
      <c r="BU885" s="4"/>
      <c r="BV885" s="4"/>
    </row>
    <row r="886" spans="29:74" ht="13.2"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  <c r="BK886" s="4"/>
      <c r="BL886" s="4"/>
      <c r="BM886" s="4"/>
      <c r="BN886" s="4"/>
      <c r="BO886" s="4"/>
      <c r="BP886" s="4"/>
      <c r="BQ886" s="4"/>
      <c r="BR886" s="4"/>
      <c r="BS886" s="4"/>
      <c r="BT886" s="4"/>
      <c r="BU886" s="4"/>
      <c r="BV886" s="4"/>
    </row>
    <row r="887" spans="29:74" ht="13.2"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  <c r="BK887" s="4"/>
      <c r="BL887" s="4"/>
      <c r="BM887" s="4"/>
      <c r="BN887" s="4"/>
      <c r="BO887" s="4"/>
      <c r="BP887" s="4"/>
      <c r="BQ887" s="4"/>
      <c r="BR887" s="4"/>
      <c r="BS887" s="4"/>
      <c r="BT887" s="4"/>
      <c r="BU887" s="4"/>
      <c r="BV887" s="4"/>
    </row>
    <row r="888" spans="29:74" ht="13.2"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  <c r="BK888" s="4"/>
      <c r="BL888" s="4"/>
      <c r="BM888" s="4"/>
      <c r="BN888" s="4"/>
      <c r="BO888" s="4"/>
      <c r="BP888" s="4"/>
      <c r="BQ888" s="4"/>
      <c r="BR888" s="4"/>
      <c r="BS888" s="4"/>
      <c r="BT888" s="4"/>
      <c r="BU888" s="4"/>
      <c r="BV888" s="4"/>
    </row>
    <row r="889" spans="29:74" ht="13.2"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  <c r="BK889" s="4"/>
      <c r="BL889" s="4"/>
      <c r="BM889" s="4"/>
      <c r="BN889" s="4"/>
      <c r="BO889" s="4"/>
      <c r="BP889" s="4"/>
      <c r="BQ889" s="4"/>
      <c r="BR889" s="4"/>
      <c r="BS889" s="4"/>
      <c r="BT889" s="4"/>
      <c r="BU889" s="4"/>
      <c r="BV889" s="4"/>
    </row>
    <row r="890" spans="29:74" ht="13.2"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  <c r="BK890" s="4"/>
      <c r="BL890" s="4"/>
      <c r="BM890" s="4"/>
      <c r="BN890" s="4"/>
      <c r="BO890" s="4"/>
      <c r="BP890" s="4"/>
      <c r="BQ890" s="4"/>
      <c r="BR890" s="4"/>
      <c r="BS890" s="4"/>
      <c r="BT890" s="4"/>
      <c r="BU890" s="4"/>
      <c r="BV890" s="4"/>
    </row>
    <row r="891" spans="29:74" ht="13.2"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  <c r="BK891" s="4"/>
      <c r="BL891" s="4"/>
      <c r="BM891" s="4"/>
      <c r="BN891" s="4"/>
      <c r="BO891" s="4"/>
      <c r="BP891" s="4"/>
      <c r="BQ891" s="4"/>
      <c r="BR891" s="4"/>
      <c r="BS891" s="4"/>
      <c r="BT891" s="4"/>
      <c r="BU891" s="4"/>
      <c r="BV891" s="4"/>
    </row>
    <row r="892" spans="29:74" ht="13.2"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  <c r="BK892" s="4"/>
      <c r="BL892" s="4"/>
      <c r="BM892" s="4"/>
      <c r="BN892" s="4"/>
      <c r="BO892" s="4"/>
      <c r="BP892" s="4"/>
      <c r="BQ892" s="4"/>
      <c r="BR892" s="4"/>
      <c r="BS892" s="4"/>
      <c r="BT892" s="4"/>
      <c r="BU892" s="4"/>
      <c r="BV892" s="4"/>
    </row>
    <row r="893" spans="29:74" ht="13.2"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  <c r="BK893" s="4"/>
      <c r="BL893" s="4"/>
      <c r="BM893" s="4"/>
      <c r="BN893" s="4"/>
      <c r="BO893" s="4"/>
      <c r="BP893" s="4"/>
      <c r="BQ893" s="4"/>
      <c r="BR893" s="4"/>
      <c r="BS893" s="4"/>
      <c r="BT893" s="4"/>
      <c r="BU893" s="4"/>
      <c r="BV893" s="4"/>
    </row>
    <row r="894" spans="29:74" ht="13.2"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  <c r="BK894" s="4"/>
      <c r="BL894" s="4"/>
      <c r="BM894" s="4"/>
      <c r="BN894" s="4"/>
      <c r="BO894" s="4"/>
      <c r="BP894" s="4"/>
      <c r="BQ894" s="4"/>
      <c r="BR894" s="4"/>
      <c r="BS894" s="4"/>
      <c r="BT894" s="4"/>
      <c r="BU894" s="4"/>
      <c r="BV894" s="4"/>
    </row>
    <row r="895" spans="29:74" ht="13.2"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  <c r="BK895" s="4"/>
      <c r="BL895" s="4"/>
      <c r="BM895" s="4"/>
      <c r="BN895" s="4"/>
      <c r="BO895" s="4"/>
      <c r="BP895" s="4"/>
      <c r="BQ895" s="4"/>
      <c r="BR895" s="4"/>
      <c r="BS895" s="4"/>
      <c r="BT895" s="4"/>
      <c r="BU895" s="4"/>
      <c r="BV895" s="4"/>
    </row>
    <row r="896" spans="29:74" ht="13.2"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  <c r="BK896" s="4"/>
      <c r="BL896" s="4"/>
      <c r="BM896" s="4"/>
      <c r="BN896" s="4"/>
      <c r="BO896" s="4"/>
      <c r="BP896" s="4"/>
      <c r="BQ896" s="4"/>
      <c r="BR896" s="4"/>
      <c r="BS896" s="4"/>
      <c r="BT896" s="4"/>
      <c r="BU896" s="4"/>
      <c r="BV896" s="4"/>
    </row>
    <row r="897" spans="29:74" ht="13.2"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  <c r="BK897" s="4"/>
      <c r="BL897" s="4"/>
      <c r="BM897" s="4"/>
      <c r="BN897" s="4"/>
      <c r="BO897" s="4"/>
      <c r="BP897" s="4"/>
      <c r="BQ897" s="4"/>
      <c r="BR897" s="4"/>
      <c r="BS897" s="4"/>
      <c r="BT897" s="4"/>
      <c r="BU897" s="4"/>
      <c r="BV897" s="4"/>
    </row>
    <row r="898" spans="29:74" ht="13.2"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  <c r="BK898" s="4"/>
      <c r="BL898" s="4"/>
      <c r="BM898" s="4"/>
      <c r="BN898" s="4"/>
      <c r="BO898" s="4"/>
      <c r="BP898" s="4"/>
      <c r="BQ898" s="4"/>
      <c r="BR898" s="4"/>
      <c r="BS898" s="4"/>
      <c r="BT898" s="4"/>
      <c r="BU898" s="4"/>
      <c r="BV898" s="4"/>
    </row>
    <row r="899" spans="29:74" ht="13.2"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  <c r="BK899" s="4"/>
      <c r="BL899" s="4"/>
      <c r="BM899" s="4"/>
      <c r="BN899" s="4"/>
      <c r="BO899" s="4"/>
      <c r="BP899" s="4"/>
      <c r="BQ899" s="4"/>
      <c r="BR899" s="4"/>
      <c r="BS899" s="4"/>
      <c r="BT899" s="4"/>
      <c r="BU899" s="4"/>
      <c r="BV899" s="4"/>
    </row>
    <row r="900" spans="29:74" ht="13.2"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  <c r="BK900" s="4"/>
      <c r="BL900" s="4"/>
      <c r="BM900" s="4"/>
      <c r="BN900" s="4"/>
      <c r="BO900" s="4"/>
      <c r="BP900" s="4"/>
      <c r="BQ900" s="4"/>
      <c r="BR900" s="4"/>
      <c r="BS900" s="4"/>
      <c r="BT900" s="4"/>
      <c r="BU900" s="4"/>
      <c r="BV900" s="4"/>
    </row>
    <row r="901" spans="29:74" ht="13.2"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  <c r="BK901" s="4"/>
      <c r="BL901" s="4"/>
      <c r="BM901" s="4"/>
      <c r="BN901" s="4"/>
      <c r="BO901" s="4"/>
      <c r="BP901" s="4"/>
      <c r="BQ901" s="4"/>
      <c r="BR901" s="4"/>
      <c r="BS901" s="4"/>
      <c r="BT901" s="4"/>
      <c r="BU901" s="4"/>
      <c r="BV901" s="4"/>
    </row>
    <row r="902" spans="29:74" ht="13.2"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  <c r="BK902" s="4"/>
      <c r="BL902" s="4"/>
      <c r="BM902" s="4"/>
      <c r="BN902" s="4"/>
      <c r="BO902" s="4"/>
      <c r="BP902" s="4"/>
      <c r="BQ902" s="4"/>
      <c r="BR902" s="4"/>
      <c r="BS902" s="4"/>
      <c r="BT902" s="4"/>
      <c r="BU902" s="4"/>
      <c r="BV902" s="4"/>
    </row>
    <row r="903" spans="29:74" ht="13.2"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  <c r="BK903" s="4"/>
      <c r="BL903" s="4"/>
      <c r="BM903" s="4"/>
      <c r="BN903" s="4"/>
      <c r="BO903" s="4"/>
      <c r="BP903" s="4"/>
      <c r="BQ903" s="4"/>
      <c r="BR903" s="4"/>
      <c r="BS903" s="4"/>
      <c r="BT903" s="4"/>
      <c r="BU903" s="4"/>
      <c r="BV903" s="4"/>
    </row>
    <row r="904" spans="29:74" ht="13.2"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  <c r="BK904" s="4"/>
      <c r="BL904" s="4"/>
      <c r="BM904" s="4"/>
      <c r="BN904" s="4"/>
      <c r="BO904" s="4"/>
      <c r="BP904" s="4"/>
      <c r="BQ904" s="4"/>
      <c r="BR904" s="4"/>
      <c r="BS904" s="4"/>
      <c r="BT904" s="4"/>
      <c r="BU904" s="4"/>
      <c r="BV904" s="4"/>
    </row>
    <row r="905" spans="29:74" ht="13.2"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  <c r="BK905" s="4"/>
      <c r="BL905" s="4"/>
      <c r="BM905" s="4"/>
      <c r="BN905" s="4"/>
      <c r="BO905" s="4"/>
      <c r="BP905" s="4"/>
      <c r="BQ905" s="4"/>
      <c r="BR905" s="4"/>
      <c r="BS905" s="4"/>
      <c r="BT905" s="4"/>
      <c r="BU905" s="4"/>
      <c r="BV905" s="4"/>
    </row>
    <row r="906" spans="29:74" ht="13.2"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  <c r="BK906" s="4"/>
      <c r="BL906" s="4"/>
      <c r="BM906" s="4"/>
      <c r="BN906" s="4"/>
      <c r="BO906" s="4"/>
      <c r="BP906" s="4"/>
      <c r="BQ906" s="4"/>
      <c r="BR906" s="4"/>
      <c r="BS906" s="4"/>
      <c r="BT906" s="4"/>
      <c r="BU906" s="4"/>
      <c r="BV906" s="4"/>
    </row>
    <row r="907" spans="29:74" ht="13.2"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  <c r="BK907" s="4"/>
      <c r="BL907" s="4"/>
      <c r="BM907" s="4"/>
      <c r="BN907" s="4"/>
      <c r="BO907" s="4"/>
      <c r="BP907" s="4"/>
      <c r="BQ907" s="4"/>
      <c r="BR907" s="4"/>
      <c r="BS907" s="4"/>
      <c r="BT907" s="4"/>
      <c r="BU907" s="4"/>
      <c r="BV907" s="4"/>
    </row>
    <row r="908" spans="29:74" ht="13.2"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  <c r="BK908" s="4"/>
      <c r="BL908" s="4"/>
      <c r="BM908" s="4"/>
      <c r="BN908" s="4"/>
      <c r="BO908" s="4"/>
      <c r="BP908" s="4"/>
      <c r="BQ908" s="4"/>
      <c r="BR908" s="4"/>
      <c r="BS908" s="4"/>
      <c r="BT908" s="4"/>
      <c r="BU908" s="4"/>
      <c r="BV908" s="4"/>
    </row>
    <row r="909" spans="29:74" ht="13.2"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  <c r="BK909" s="4"/>
      <c r="BL909" s="4"/>
      <c r="BM909" s="4"/>
      <c r="BN909" s="4"/>
      <c r="BO909" s="4"/>
      <c r="BP909" s="4"/>
      <c r="BQ909" s="4"/>
      <c r="BR909" s="4"/>
      <c r="BS909" s="4"/>
      <c r="BT909" s="4"/>
      <c r="BU909" s="4"/>
      <c r="BV909" s="4"/>
    </row>
    <row r="910" spans="29:74" ht="13.2"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  <c r="BK910" s="4"/>
      <c r="BL910" s="4"/>
      <c r="BM910" s="4"/>
      <c r="BN910" s="4"/>
      <c r="BO910" s="4"/>
      <c r="BP910" s="4"/>
      <c r="BQ910" s="4"/>
      <c r="BR910" s="4"/>
      <c r="BS910" s="4"/>
      <c r="BT910" s="4"/>
      <c r="BU910" s="4"/>
      <c r="BV910" s="4"/>
    </row>
    <row r="911" spans="29:74" ht="13.2"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  <c r="BK911" s="4"/>
      <c r="BL911" s="4"/>
      <c r="BM911" s="4"/>
      <c r="BN911" s="4"/>
      <c r="BO911" s="4"/>
      <c r="BP911" s="4"/>
      <c r="BQ911" s="4"/>
      <c r="BR911" s="4"/>
      <c r="BS911" s="4"/>
      <c r="BT911" s="4"/>
      <c r="BU911" s="4"/>
      <c r="BV911" s="4"/>
    </row>
    <row r="912" spans="29:74" ht="13.2"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  <c r="BK912" s="4"/>
      <c r="BL912" s="4"/>
      <c r="BM912" s="4"/>
      <c r="BN912" s="4"/>
      <c r="BO912" s="4"/>
      <c r="BP912" s="4"/>
      <c r="BQ912" s="4"/>
      <c r="BR912" s="4"/>
      <c r="BS912" s="4"/>
      <c r="BT912" s="4"/>
      <c r="BU912" s="4"/>
      <c r="BV912" s="4"/>
    </row>
    <row r="913" spans="29:74" ht="13.2"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  <c r="BK913" s="4"/>
      <c r="BL913" s="4"/>
      <c r="BM913" s="4"/>
      <c r="BN913" s="4"/>
      <c r="BO913" s="4"/>
      <c r="BP913" s="4"/>
      <c r="BQ913" s="4"/>
      <c r="BR913" s="4"/>
      <c r="BS913" s="4"/>
      <c r="BT913" s="4"/>
      <c r="BU913" s="4"/>
      <c r="BV913" s="4"/>
    </row>
    <row r="914" spans="29:74" ht="13.2"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  <c r="BK914" s="4"/>
      <c r="BL914" s="4"/>
      <c r="BM914" s="4"/>
      <c r="BN914" s="4"/>
      <c r="BO914" s="4"/>
      <c r="BP914" s="4"/>
      <c r="BQ914" s="4"/>
      <c r="BR914" s="4"/>
      <c r="BS914" s="4"/>
      <c r="BT914" s="4"/>
      <c r="BU914" s="4"/>
      <c r="BV914" s="4"/>
    </row>
    <row r="915" spans="29:74" ht="13.2"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  <c r="BK915" s="4"/>
      <c r="BL915" s="4"/>
      <c r="BM915" s="4"/>
      <c r="BN915" s="4"/>
      <c r="BO915" s="4"/>
      <c r="BP915" s="4"/>
      <c r="BQ915" s="4"/>
      <c r="BR915" s="4"/>
      <c r="BS915" s="4"/>
      <c r="BT915" s="4"/>
      <c r="BU915" s="4"/>
      <c r="BV915" s="4"/>
    </row>
    <row r="916" spans="29:74" ht="13.2"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  <c r="BK916" s="4"/>
      <c r="BL916" s="4"/>
      <c r="BM916" s="4"/>
      <c r="BN916" s="4"/>
      <c r="BO916" s="4"/>
      <c r="BP916" s="4"/>
      <c r="BQ916" s="4"/>
      <c r="BR916" s="4"/>
      <c r="BS916" s="4"/>
      <c r="BT916" s="4"/>
      <c r="BU916" s="4"/>
      <c r="BV916" s="4"/>
    </row>
    <row r="917" spans="29:74" ht="13.2"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  <c r="BK917" s="4"/>
      <c r="BL917" s="4"/>
      <c r="BM917" s="4"/>
      <c r="BN917" s="4"/>
      <c r="BO917" s="4"/>
      <c r="BP917" s="4"/>
      <c r="BQ917" s="4"/>
      <c r="BR917" s="4"/>
      <c r="BS917" s="4"/>
      <c r="BT917" s="4"/>
      <c r="BU917" s="4"/>
      <c r="BV917" s="4"/>
    </row>
    <row r="918" spans="29:74" ht="13.2"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  <c r="BK918" s="4"/>
      <c r="BL918" s="4"/>
      <c r="BM918" s="4"/>
      <c r="BN918" s="4"/>
      <c r="BO918" s="4"/>
      <c r="BP918" s="4"/>
      <c r="BQ918" s="4"/>
      <c r="BR918" s="4"/>
      <c r="BS918" s="4"/>
      <c r="BT918" s="4"/>
      <c r="BU918" s="4"/>
      <c r="BV918" s="4"/>
    </row>
    <row r="919" spans="29:74" ht="13.2"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  <c r="BK919" s="4"/>
      <c r="BL919" s="4"/>
      <c r="BM919" s="4"/>
      <c r="BN919" s="4"/>
      <c r="BO919" s="4"/>
      <c r="BP919" s="4"/>
      <c r="BQ919" s="4"/>
      <c r="BR919" s="4"/>
      <c r="BS919" s="4"/>
      <c r="BT919" s="4"/>
      <c r="BU919" s="4"/>
      <c r="BV919" s="4"/>
    </row>
    <row r="920" spans="29:74" ht="13.2"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  <c r="BK920" s="4"/>
      <c r="BL920" s="4"/>
      <c r="BM920" s="4"/>
      <c r="BN920" s="4"/>
      <c r="BO920" s="4"/>
      <c r="BP920" s="4"/>
      <c r="BQ920" s="4"/>
      <c r="BR920" s="4"/>
      <c r="BS920" s="4"/>
      <c r="BT920" s="4"/>
      <c r="BU920" s="4"/>
      <c r="BV920" s="4"/>
    </row>
    <row r="921" spans="29:74" ht="13.2"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  <c r="BK921" s="4"/>
      <c r="BL921" s="4"/>
      <c r="BM921" s="4"/>
      <c r="BN921" s="4"/>
      <c r="BO921" s="4"/>
      <c r="BP921" s="4"/>
      <c r="BQ921" s="4"/>
      <c r="BR921" s="4"/>
      <c r="BS921" s="4"/>
      <c r="BT921" s="4"/>
      <c r="BU921" s="4"/>
      <c r="BV921" s="4"/>
    </row>
    <row r="922" spans="29:74" ht="13.2"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  <c r="BK922" s="4"/>
      <c r="BL922" s="4"/>
      <c r="BM922" s="4"/>
      <c r="BN922" s="4"/>
      <c r="BO922" s="4"/>
      <c r="BP922" s="4"/>
      <c r="BQ922" s="4"/>
      <c r="BR922" s="4"/>
      <c r="BS922" s="4"/>
      <c r="BT922" s="4"/>
      <c r="BU922" s="4"/>
      <c r="BV922" s="4"/>
    </row>
    <row r="923" spans="29:74" ht="13.2"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  <c r="BK923" s="4"/>
      <c r="BL923" s="4"/>
      <c r="BM923" s="4"/>
      <c r="BN923" s="4"/>
      <c r="BO923" s="4"/>
      <c r="BP923" s="4"/>
      <c r="BQ923" s="4"/>
      <c r="BR923" s="4"/>
      <c r="BS923" s="4"/>
      <c r="BT923" s="4"/>
      <c r="BU923" s="4"/>
      <c r="BV923" s="4"/>
    </row>
    <row r="924" spans="29:74" ht="13.2"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  <c r="BK924" s="4"/>
      <c r="BL924" s="4"/>
      <c r="BM924" s="4"/>
      <c r="BN924" s="4"/>
      <c r="BO924" s="4"/>
      <c r="BP924" s="4"/>
      <c r="BQ924" s="4"/>
      <c r="BR924" s="4"/>
      <c r="BS924" s="4"/>
      <c r="BT924" s="4"/>
      <c r="BU924" s="4"/>
      <c r="BV924" s="4"/>
    </row>
    <row r="925" spans="29:74" ht="13.2"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  <c r="BK925" s="4"/>
      <c r="BL925" s="4"/>
      <c r="BM925" s="4"/>
      <c r="BN925" s="4"/>
      <c r="BO925" s="4"/>
      <c r="BP925" s="4"/>
      <c r="BQ925" s="4"/>
      <c r="BR925" s="4"/>
      <c r="BS925" s="4"/>
      <c r="BT925" s="4"/>
      <c r="BU925" s="4"/>
      <c r="BV925" s="4"/>
    </row>
    <row r="926" spans="29:74" ht="13.2"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  <c r="BK926" s="4"/>
      <c r="BL926" s="4"/>
      <c r="BM926" s="4"/>
      <c r="BN926" s="4"/>
      <c r="BO926" s="4"/>
      <c r="BP926" s="4"/>
      <c r="BQ926" s="4"/>
      <c r="BR926" s="4"/>
      <c r="BS926" s="4"/>
      <c r="BT926" s="4"/>
      <c r="BU926" s="4"/>
      <c r="BV926" s="4"/>
    </row>
    <row r="927" spans="29:74" ht="13.2"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  <c r="BK927" s="4"/>
      <c r="BL927" s="4"/>
      <c r="BM927" s="4"/>
      <c r="BN927" s="4"/>
      <c r="BO927" s="4"/>
      <c r="BP927" s="4"/>
      <c r="BQ927" s="4"/>
      <c r="BR927" s="4"/>
      <c r="BS927" s="4"/>
      <c r="BT927" s="4"/>
      <c r="BU927" s="4"/>
      <c r="BV927" s="4"/>
    </row>
    <row r="928" spans="29:74" ht="13.2"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  <c r="BK928" s="4"/>
      <c r="BL928" s="4"/>
      <c r="BM928" s="4"/>
      <c r="BN928" s="4"/>
      <c r="BO928" s="4"/>
      <c r="BP928" s="4"/>
      <c r="BQ928" s="4"/>
      <c r="BR928" s="4"/>
      <c r="BS928" s="4"/>
      <c r="BT928" s="4"/>
      <c r="BU928" s="4"/>
      <c r="BV928" s="4"/>
    </row>
    <row r="929" spans="29:74" ht="13.2"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  <c r="BK929" s="4"/>
      <c r="BL929" s="4"/>
      <c r="BM929" s="4"/>
      <c r="BN929" s="4"/>
      <c r="BO929" s="4"/>
      <c r="BP929" s="4"/>
      <c r="BQ929" s="4"/>
      <c r="BR929" s="4"/>
      <c r="BS929" s="4"/>
      <c r="BT929" s="4"/>
      <c r="BU929" s="4"/>
      <c r="BV929" s="4"/>
    </row>
    <row r="930" spans="29:74" ht="13.2"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  <c r="BK930" s="4"/>
      <c r="BL930" s="4"/>
      <c r="BM930" s="4"/>
      <c r="BN930" s="4"/>
      <c r="BO930" s="4"/>
      <c r="BP930" s="4"/>
      <c r="BQ930" s="4"/>
      <c r="BR930" s="4"/>
      <c r="BS930" s="4"/>
      <c r="BT930" s="4"/>
      <c r="BU930" s="4"/>
      <c r="BV930" s="4"/>
    </row>
    <row r="931" spans="29:74" ht="13.2"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  <c r="BK931" s="4"/>
      <c r="BL931" s="4"/>
      <c r="BM931" s="4"/>
      <c r="BN931" s="4"/>
      <c r="BO931" s="4"/>
      <c r="BP931" s="4"/>
      <c r="BQ931" s="4"/>
      <c r="BR931" s="4"/>
      <c r="BS931" s="4"/>
      <c r="BT931" s="4"/>
      <c r="BU931" s="4"/>
      <c r="BV931" s="4"/>
    </row>
    <row r="932" spans="29:74" ht="13.2"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  <c r="BK932" s="4"/>
      <c r="BL932" s="4"/>
      <c r="BM932" s="4"/>
      <c r="BN932" s="4"/>
      <c r="BO932" s="4"/>
      <c r="BP932" s="4"/>
      <c r="BQ932" s="4"/>
      <c r="BR932" s="4"/>
      <c r="BS932" s="4"/>
      <c r="BT932" s="4"/>
      <c r="BU932" s="4"/>
      <c r="BV932" s="4"/>
    </row>
    <row r="933" spans="29:74" ht="13.2"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  <c r="BK933" s="4"/>
      <c r="BL933" s="4"/>
      <c r="BM933" s="4"/>
      <c r="BN933" s="4"/>
      <c r="BO933" s="4"/>
      <c r="BP933" s="4"/>
      <c r="BQ933" s="4"/>
      <c r="BR933" s="4"/>
      <c r="BS933" s="4"/>
      <c r="BT933" s="4"/>
      <c r="BU933" s="4"/>
      <c r="BV933" s="4"/>
    </row>
    <row r="934" spans="29:74" ht="13.2"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  <c r="BK934" s="4"/>
      <c r="BL934" s="4"/>
      <c r="BM934" s="4"/>
      <c r="BN934" s="4"/>
      <c r="BO934" s="4"/>
      <c r="BP934" s="4"/>
      <c r="BQ934" s="4"/>
      <c r="BR934" s="4"/>
      <c r="BS934" s="4"/>
      <c r="BT934" s="4"/>
      <c r="BU934" s="4"/>
      <c r="BV934" s="4"/>
    </row>
    <row r="935" spans="29:74" ht="13.2"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  <c r="BK935" s="4"/>
      <c r="BL935" s="4"/>
      <c r="BM935" s="4"/>
      <c r="BN935" s="4"/>
      <c r="BO935" s="4"/>
      <c r="BP935" s="4"/>
      <c r="BQ935" s="4"/>
      <c r="BR935" s="4"/>
      <c r="BS935" s="4"/>
      <c r="BT935" s="4"/>
      <c r="BU935" s="4"/>
      <c r="BV935" s="4"/>
    </row>
    <row r="936" spans="29:74" ht="13.2"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  <c r="BK936" s="4"/>
      <c r="BL936" s="4"/>
      <c r="BM936" s="4"/>
      <c r="BN936" s="4"/>
      <c r="BO936" s="4"/>
      <c r="BP936" s="4"/>
      <c r="BQ936" s="4"/>
      <c r="BR936" s="4"/>
      <c r="BS936" s="4"/>
      <c r="BT936" s="4"/>
      <c r="BU936" s="4"/>
      <c r="BV936" s="4"/>
    </row>
    <row r="937" spans="29:74" ht="13.2"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  <c r="BK937" s="4"/>
      <c r="BL937" s="4"/>
      <c r="BM937" s="4"/>
      <c r="BN937" s="4"/>
      <c r="BO937" s="4"/>
      <c r="BP937" s="4"/>
      <c r="BQ937" s="4"/>
      <c r="BR937" s="4"/>
      <c r="BS937" s="4"/>
      <c r="BT937" s="4"/>
      <c r="BU937" s="4"/>
      <c r="BV937" s="4"/>
    </row>
    <row r="938" spans="29:74" ht="13.2"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  <c r="BK938" s="4"/>
      <c r="BL938" s="4"/>
      <c r="BM938" s="4"/>
      <c r="BN938" s="4"/>
      <c r="BO938" s="4"/>
      <c r="BP938" s="4"/>
      <c r="BQ938" s="4"/>
      <c r="BR938" s="4"/>
      <c r="BS938" s="4"/>
      <c r="BT938" s="4"/>
      <c r="BU938" s="4"/>
      <c r="BV938" s="4"/>
    </row>
    <row r="939" spans="29:74" ht="13.2"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  <c r="BK939" s="4"/>
      <c r="BL939" s="4"/>
      <c r="BM939" s="4"/>
      <c r="BN939" s="4"/>
      <c r="BO939" s="4"/>
      <c r="BP939" s="4"/>
      <c r="BQ939" s="4"/>
      <c r="BR939" s="4"/>
      <c r="BS939" s="4"/>
      <c r="BT939" s="4"/>
      <c r="BU939" s="4"/>
      <c r="BV939" s="4"/>
    </row>
    <row r="940" spans="29:74" ht="13.2"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  <c r="BK940" s="4"/>
      <c r="BL940" s="4"/>
      <c r="BM940" s="4"/>
      <c r="BN940" s="4"/>
      <c r="BO940" s="4"/>
      <c r="BP940" s="4"/>
      <c r="BQ940" s="4"/>
      <c r="BR940" s="4"/>
      <c r="BS940" s="4"/>
      <c r="BT940" s="4"/>
      <c r="BU940" s="4"/>
      <c r="BV940" s="4"/>
    </row>
    <row r="941" spans="29:74" ht="13.2"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  <c r="BK941" s="4"/>
      <c r="BL941" s="4"/>
      <c r="BM941" s="4"/>
      <c r="BN941" s="4"/>
      <c r="BO941" s="4"/>
      <c r="BP941" s="4"/>
      <c r="BQ941" s="4"/>
      <c r="BR941" s="4"/>
      <c r="BS941" s="4"/>
      <c r="BT941" s="4"/>
      <c r="BU941" s="4"/>
      <c r="BV941" s="4"/>
    </row>
    <row r="942" spans="29:74" ht="13.2"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  <c r="BK942" s="4"/>
      <c r="BL942" s="4"/>
      <c r="BM942" s="4"/>
      <c r="BN942" s="4"/>
      <c r="BO942" s="4"/>
      <c r="BP942" s="4"/>
      <c r="BQ942" s="4"/>
      <c r="BR942" s="4"/>
      <c r="BS942" s="4"/>
      <c r="BT942" s="4"/>
      <c r="BU942" s="4"/>
      <c r="BV942" s="4"/>
    </row>
    <row r="943" spans="29:74" ht="13.2"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  <c r="BK943" s="4"/>
      <c r="BL943" s="4"/>
      <c r="BM943" s="4"/>
      <c r="BN943" s="4"/>
      <c r="BO943" s="4"/>
      <c r="BP943" s="4"/>
      <c r="BQ943" s="4"/>
      <c r="BR943" s="4"/>
      <c r="BS943" s="4"/>
      <c r="BT943" s="4"/>
      <c r="BU943" s="4"/>
      <c r="BV943" s="4"/>
    </row>
    <row r="944" spans="29:74" ht="13.2"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  <c r="BK944" s="4"/>
      <c r="BL944" s="4"/>
      <c r="BM944" s="4"/>
      <c r="BN944" s="4"/>
      <c r="BO944" s="4"/>
      <c r="BP944" s="4"/>
      <c r="BQ944" s="4"/>
      <c r="BR944" s="4"/>
      <c r="BS944" s="4"/>
      <c r="BT944" s="4"/>
      <c r="BU944" s="4"/>
      <c r="BV944" s="4"/>
    </row>
    <row r="945" spans="29:74" ht="13.2"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  <c r="BK945" s="4"/>
      <c r="BL945" s="4"/>
      <c r="BM945" s="4"/>
      <c r="BN945" s="4"/>
      <c r="BO945" s="4"/>
      <c r="BP945" s="4"/>
      <c r="BQ945" s="4"/>
      <c r="BR945" s="4"/>
      <c r="BS945" s="4"/>
      <c r="BT945" s="4"/>
      <c r="BU945" s="4"/>
      <c r="BV945" s="4"/>
    </row>
    <row r="946" spans="29:74" ht="13.2"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  <c r="BK946" s="4"/>
      <c r="BL946" s="4"/>
      <c r="BM946" s="4"/>
      <c r="BN946" s="4"/>
      <c r="BO946" s="4"/>
      <c r="BP946" s="4"/>
      <c r="BQ946" s="4"/>
      <c r="BR946" s="4"/>
      <c r="BS946" s="4"/>
      <c r="BT946" s="4"/>
      <c r="BU946" s="4"/>
      <c r="BV946" s="4"/>
    </row>
    <row r="947" spans="29:74" ht="13.2"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  <c r="BK947" s="4"/>
      <c r="BL947" s="4"/>
      <c r="BM947" s="4"/>
      <c r="BN947" s="4"/>
      <c r="BO947" s="4"/>
      <c r="BP947" s="4"/>
      <c r="BQ947" s="4"/>
      <c r="BR947" s="4"/>
      <c r="BS947" s="4"/>
      <c r="BT947" s="4"/>
      <c r="BU947" s="4"/>
      <c r="BV947" s="4"/>
    </row>
    <row r="948" spans="29:74" ht="13.2"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  <c r="BK948" s="4"/>
      <c r="BL948" s="4"/>
      <c r="BM948" s="4"/>
      <c r="BN948" s="4"/>
      <c r="BO948" s="4"/>
      <c r="BP948" s="4"/>
      <c r="BQ948" s="4"/>
      <c r="BR948" s="4"/>
      <c r="BS948" s="4"/>
      <c r="BT948" s="4"/>
      <c r="BU948" s="4"/>
      <c r="BV948" s="4"/>
    </row>
    <row r="949" spans="29:74" ht="13.2"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  <c r="BK949" s="4"/>
      <c r="BL949" s="4"/>
      <c r="BM949" s="4"/>
      <c r="BN949" s="4"/>
      <c r="BO949" s="4"/>
      <c r="BP949" s="4"/>
      <c r="BQ949" s="4"/>
      <c r="BR949" s="4"/>
      <c r="BS949" s="4"/>
      <c r="BT949" s="4"/>
      <c r="BU949" s="4"/>
      <c r="BV949" s="4"/>
    </row>
    <row r="950" spans="29:74" ht="13.2"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  <c r="BK950" s="4"/>
      <c r="BL950" s="4"/>
      <c r="BM950" s="4"/>
      <c r="BN950" s="4"/>
      <c r="BO950" s="4"/>
      <c r="BP950" s="4"/>
      <c r="BQ950" s="4"/>
      <c r="BR950" s="4"/>
      <c r="BS950" s="4"/>
      <c r="BT950" s="4"/>
      <c r="BU950" s="4"/>
      <c r="BV950" s="4"/>
    </row>
    <row r="951" spans="29:74" ht="13.2"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  <c r="BK951" s="4"/>
      <c r="BL951" s="4"/>
      <c r="BM951" s="4"/>
      <c r="BN951" s="4"/>
      <c r="BO951" s="4"/>
      <c r="BP951" s="4"/>
      <c r="BQ951" s="4"/>
      <c r="BR951" s="4"/>
      <c r="BS951" s="4"/>
      <c r="BT951" s="4"/>
      <c r="BU951" s="4"/>
      <c r="BV951" s="4"/>
    </row>
    <row r="952" spans="29:74" ht="13.2"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  <c r="BK952" s="4"/>
      <c r="BL952" s="4"/>
      <c r="BM952" s="4"/>
      <c r="BN952" s="4"/>
      <c r="BO952" s="4"/>
      <c r="BP952" s="4"/>
      <c r="BQ952" s="4"/>
      <c r="BR952" s="4"/>
      <c r="BS952" s="4"/>
      <c r="BT952" s="4"/>
      <c r="BU952" s="4"/>
      <c r="BV952" s="4"/>
    </row>
    <row r="953" spans="29:74" ht="13.2"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  <c r="BA953" s="4"/>
      <c r="BB953" s="4"/>
      <c r="BC953" s="4"/>
      <c r="BD953" s="4"/>
      <c r="BE953" s="4"/>
      <c r="BF953" s="4"/>
      <c r="BG953" s="4"/>
      <c r="BH953" s="4"/>
      <c r="BI953" s="4"/>
      <c r="BJ953" s="4"/>
      <c r="BK953" s="4"/>
      <c r="BL953" s="4"/>
      <c r="BM953" s="4"/>
      <c r="BN953" s="4"/>
      <c r="BO953" s="4"/>
      <c r="BP953" s="4"/>
      <c r="BQ953" s="4"/>
      <c r="BR953" s="4"/>
      <c r="BS953" s="4"/>
      <c r="BT953" s="4"/>
      <c r="BU953" s="4"/>
      <c r="BV953" s="4"/>
    </row>
    <row r="954" spans="29:74" ht="13.2"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  <c r="BA954" s="4"/>
      <c r="BB954" s="4"/>
      <c r="BC954" s="4"/>
      <c r="BD954" s="4"/>
      <c r="BE954" s="4"/>
      <c r="BF954" s="4"/>
      <c r="BG954" s="4"/>
      <c r="BH954" s="4"/>
      <c r="BI954" s="4"/>
      <c r="BJ954" s="4"/>
      <c r="BK954" s="4"/>
      <c r="BL954" s="4"/>
      <c r="BM954" s="4"/>
      <c r="BN954" s="4"/>
      <c r="BO954" s="4"/>
      <c r="BP954" s="4"/>
      <c r="BQ954" s="4"/>
      <c r="BR954" s="4"/>
      <c r="BS954" s="4"/>
      <c r="BT954" s="4"/>
      <c r="BU954" s="4"/>
      <c r="BV954" s="4"/>
    </row>
    <row r="955" spans="29:74" ht="13.2"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  <c r="BA955" s="4"/>
      <c r="BB955" s="4"/>
      <c r="BC955" s="4"/>
      <c r="BD955" s="4"/>
      <c r="BE955" s="4"/>
      <c r="BF955" s="4"/>
      <c r="BG955" s="4"/>
      <c r="BH955" s="4"/>
      <c r="BI955" s="4"/>
      <c r="BJ955" s="4"/>
      <c r="BK955" s="4"/>
      <c r="BL955" s="4"/>
      <c r="BM955" s="4"/>
      <c r="BN955" s="4"/>
      <c r="BO955" s="4"/>
      <c r="BP955" s="4"/>
      <c r="BQ955" s="4"/>
      <c r="BR955" s="4"/>
      <c r="BS955" s="4"/>
      <c r="BT955" s="4"/>
      <c r="BU955" s="4"/>
      <c r="BV955" s="4"/>
    </row>
    <row r="956" spans="29:74" ht="13.2"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  <c r="BA956" s="4"/>
      <c r="BB956" s="4"/>
      <c r="BC956" s="4"/>
      <c r="BD956" s="4"/>
      <c r="BE956" s="4"/>
      <c r="BF956" s="4"/>
      <c r="BG956" s="4"/>
      <c r="BH956" s="4"/>
      <c r="BI956" s="4"/>
      <c r="BJ956" s="4"/>
      <c r="BK956" s="4"/>
      <c r="BL956" s="4"/>
      <c r="BM956" s="4"/>
      <c r="BN956" s="4"/>
      <c r="BO956" s="4"/>
      <c r="BP956" s="4"/>
      <c r="BQ956" s="4"/>
      <c r="BR956" s="4"/>
      <c r="BS956" s="4"/>
      <c r="BT956" s="4"/>
      <c r="BU956" s="4"/>
      <c r="BV956" s="4"/>
    </row>
    <row r="957" spans="29:74" ht="13.2"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4"/>
      <c r="BE957" s="4"/>
      <c r="BF957" s="4"/>
      <c r="BG957" s="4"/>
      <c r="BH957" s="4"/>
      <c r="BI957" s="4"/>
      <c r="BJ957" s="4"/>
      <c r="BK957" s="4"/>
      <c r="BL957" s="4"/>
      <c r="BM957" s="4"/>
      <c r="BN957" s="4"/>
      <c r="BO957" s="4"/>
      <c r="BP957" s="4"/>
      <c r="BQ957" s="4"/>
      <c r="BR957" s="4"/>
      <c r="BS957" s="4"/>
      <c r="BT957" s="4"/>
      <c r="BU957" s="4"/>
      <c r="BV957" s="4"/>
    </row>
    <row r="958" spans="29:74" ht="13.2"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4"/>
      <c r="BE958" s="4"/>
      <c r="BF958" s="4"/>
      <c r="BG958" s="4"/>
      <c r="BH958" s="4"/>
      <c r="BI958" s="4"/>
      <c r="BJ958" s="4"/>
      <c r="BK958" s="4"/>
      <c r="BL958" s="4"/>
      <c r="BM958" s="4"/>
      <c r="BN958" s="4"/>
      <c r="BO958" s="4"/>
      <c r="BP958" s="4"/>
      <c r="BQ958" s="4"/>
      <c r="BR958" s="4"/>
      <c r="BS958" s="4"/>
      <c r="BT958" s="4"/>
      <c r="BU958" s="4"/>
      <c r="BV958" s="4"/>
    </row>
    <row r="959" spans="29:74" ht="13.2"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4"/>
      <c r="BE959" s="4"/>
      <c r="BF959" s="4"/>
      <c r="BG959" s="4"/>
      <c r="BH959" s="4"/>
      <c r="BI959" s="4"/>
      <c r="BJ959" s="4"/>
      <c r="BK959" s="4"/>
      <c r="BL959" s="4"/>
      <c r="BM959" s="4"/>
      <c r="BN959" s="4"/>
      <c r="BO959" s="4"/>
      <c r="BP959" s="4"/>
      <c r="BQ959" s="4"/>
      <c r="BR959" s="4"/>
      <c r="BS959" s="4"/>
      <c r="BT959" s="4"/>
      <c r="BU959" s="4"/>
      <c r="BV959" s="4"/>
    </row>
    <row r="960" spans="29:74" ht="13.2"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4"/>
      <c r="BE960" s="4"/>
      <c r="BF960" s="4"/>
      <c r="BG960" s="4"/>
      <c r="BH960" s="4"/>
      <c r="BI960" s="4"/>
      <c r="BJ960" s="4"/>
      <c r="BK960" s="4"/>
      <c r="BL960" s="4"/>
      <c r="BM960" s="4"/>
      <c r="BN960" s="4"/>
      <c r="BO960" s="4"/>
      <c r="BP960" s="4"/>
      <c r="BQ960" s="4"/>
      <c r="BR960" s="4"/>
      <c r="BS960" s="4"/>
      <c r="BT960" s="4"/>
      <c r="BU960" s="4"/>
      <c r="BV960" s="4"/>
    </row>
    <row r="961" spans="29:74" ht="13.2"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4"/>
      <c r="BE961" s="4"/>
      <c r="BF961" s="4"/>
      <c r="BG961" s="4"/>
      <c r="BH961" s="4"/>
      <c r="BI961" s="4"/>
      <c r="BJ961" s="4"/>
      <c r="BK961" s="4"/>
      <c r="BL961" s="4"/>
      <c r="BM961" s="4"/>
      <c r="BN961" s="4"/>
      <c r="BO961" s="4"/>
      <c r="BP961" s="4"/>
      <c r="BQ961" s="4"/>
      <c r="BR961" s="4"/>
      <c r="BS961" s="4"/>
      <c r="BT961" s="4"/>
      <c r="BU961" s="4"/>
      <c r="BV961" s="4"/>
    </row>
    <row r="962" spans="29:74" ht="13.2"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4"/>
      <c r="BE962" s="4"/>
      <c r="BF962" s="4"/>
      <c r="BG962" s="4"/>
      <c r="BH962" s="4"/>
      <c r="BI962" s="4"/>
      <c r="BJ962" s="4"/>
      <c r="BK962" s="4"/>
      <c r="BL962" s="4"/>
      <c r="BM962" s="4"/>
      <c r="BN962" s="4"/>
      <c r="BO962" s="4"/>
      <c r="BP962" s="4"/>
      <c r="BQ962" s="4"/>
      <c r="BR962" s="4"/>
      <c r="BS962" s="4"/>
      <c r="BT962" s="4"/>
      <c r="BU962" s="4"/>
      <c r="BV962" s="4"/>
    </row>
    <row r="963" spans="29:74" ht="13.2"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4"/>
      <c r="BE963" s="4"/>
      <c r="BF963" s="4"/>
      <c r="BG963" s="4"/>
      <c r="BH963" s="4"/>
      <c r="BI963" s="4"/>
      <c r="BJ963" s="4"/>
      <c r="BK963" s="4"/>
      <c r="BL963" s="4"/>
      <c r="BM963" s="4"/>
      <c r="BN963" s="4"/>
      <c r="BO963" s="4"/>
      <c r="BP963" s="4"/>
      <c r="BQ963" s="4"/>
      <c r="BR963" s="4"/>
      <c r="BS963" s="4"/>
      <c r="BT963" s="4"/>
      <c r="BU963" s="4"/>
      <c r="BV963" s="4"/>
    </row>
    <row r="964" spans="29:74" ht="13.2"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4"/>
      <c r="BE964" s="4"/>
      <c r="BF964" s="4"/>
      <c r="BG964" s="4"/>
      <c r="BH964" s="4"/>
      <c r="BI964" s="4"/>
      <c r="BJ964" s="4"/>
      <c r="BK964" s="4"/>
      <c r="BL964" s="4"/>
      <c r="BM964" s="4"/>
      <c r="BN964" s="4"/>
      <c r="BO964" s="4"/>
      <c r="BP964" s="4"/>
      <c r="BQ964" s="4"/>
      <c r="BR964" s="4"/>
      <c r="BS964" s="4"/>
      <c r="BT964" s="4"/>
      <c r="BU964" s="4"/>
      <c r="BV964" s="4"/>
    </row>
    <row r="965" spans="29:74" ht="13.2"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4"/>
      <c r="BE965" s="4"/>
      <c r="BF965" s="4"/>
      <c r="BG965" s="4"/>
      <c r="BH965" s="4"/>
      <c r="BI965" s="4"/>
      <c r="BJ965" s="4"/>
      <c r="BK965" s="4"/>
      <c r="BL965" s="4"/>
      <c r="BM965" s="4"/>
      <c r="BN965" s="4"/>
      <c r="BO965" s="4"/>
      <c r="BP965" s="4"/>
      <c r="BQ965" s="4"/>
      <c r="BR965" s="4"/>
      <c r="BS965" s="4"/>
      <c r="BT965" s="4"/>
      <c r="BU965" s="4"/>
      <c r="BV965" s="4"/>
    </row>
    <row r="966" spans="29:74" ht="13.2"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4"/>
      <c r="BE966" s="4"/>
      <c r="BF966" s="4"/>
      <c r="BG966" s="4"/>
      <c r="BH966" s="4"/>
      <c r="BI966" s="4"/>
      <c r="BJ966" s="4"/>
      <c r="BK966" s="4"/>
      <c r="BL966" s="4"/>
      <c r="BM966" s="4"/>
      <c r="BN966" s="4"/>
      <c r="BO966" s="4"/>
      <c r="BP966" s="4"/>
      <c r="BQ966" s="4"/>
      <c r="BR966" s="4"/>
      <c r="BS966" s="4"/>
      <c r="BT966" s="4"/>
      <c r="BU966" s="4"/>
      <c r="BV966" s="4"/>
    </row>
    <row r="967" spans="29:74" ht="13.2"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4"/>
      <c r="BE967" s="4"/>
      <c r="BF967" s="4"/>
      <c r="BG967" s="4"/>
      <c r="BH967" s="4"/>
      <c r="BI967" s="4"/>
      <c r="BJ967" s="4"/>
      <c r="BK967" s="4"/>
      <c r="BL967" s="4"/>
      <c r="BM967" s="4"/>
      <c r="BN967" s="4"/>
      <c r="BO967" s="4"/>
      <c r="BP967" s="4"/>
      <c r="BQ967" s="4"/>
      <c r="BR967" s="4"/>
      <c r="BS967" s="4"/>
      <c r="BT967" s="4"/>
      <c r="BU967" s="4"/>
      <c r="BV967" s="4"/>
    </row>
    <row r="968" spans="29:74" ht="13.2"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4"/>
      <c r="BE968" s="4"/>
      <c r="BF968" s="4"/>
      <c r="BG968" s="4"/>
      <c r="BH968" s="4"/>
      <c r="BI968" s="4"/>
      <c r="BJ968" s="4"/>
      <c r="BK968" s="4"/>
      <c r="BL968" s="4"/>
      <c r="BM968" s="4"/>
      <c r="BN968" s="4"/>
      <c r="BO968" s="4"/>
      <c r="BP968" s="4"/>
      <c r="BQ968" s="4"/>
      <c r="BR968" s="4"/>
      <c r="BS968" s="4"/>
      <c r="BT968" s="4"/>
      <c r="BU968" s="4"/>
      <c r="BV968" s="4"/>
    </row>
    <row r="969" spans="29:74" ht="13.2"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4"/>
      <c r="BE969" s="4"/>
      <c r="BF969" s="4"/>
      <c r="BG969" s="4"/>
      <c r="BH969" s="4"/>
      <c r="BI969" s="4"/>
      <c r="BJ969" s="4"/>
      <c r="BK969" s="4"/>
      <c r="BL969" s="4"/>
      <c r="BM969" s="4"/>
      <c r="BN969" s="4"/>
      <c r="BO969" s="4"/>
      <c r="BP969" s="4"/>
      <c r="BQ969" s="4"/>
      <c r="BR969" s="4"/>
      <c r="BS969" s="4"/>
      <c r="BT969" s="4"/>
      <c r="BU969" s="4"/>
      <c r="BV969" s="4"/>
    </row>
    <row r="970" spans="29:74" ht="13.2"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4"/>
      <c r="BE970" s="4"/>
      <c r="BF970" s="4"/>
      <c r="BG970" s="4"/>
      <c r="BH970" s="4"/>
      <c r="BI970" s="4"/>
      <c r="BJ970" s="4"/>
      <c r="BK970" s="4"/>
      <c r="BL970" s="4"/>
      <c r="BM970" s="4"/>
      <c r="BN970" s="4"/>
      <c r="BO970" s="4"/>
      <c r="BP970" s="4"/>
      <c r="BQ970" s="4"/>
      <c r="BR970" s="4"/>
      <c r="BS970" s="4"/>
      <c r="BT970" s="4"/>
      <c r="BU970" s="4"/>
      <c r="BV970" s="4"/>
    </row>
    <row r="971" spans="29:74" ht="13.2"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4"/>
      <c r="BE971" s="4"/>
      <c r="BF971" s="4"/>
      <c r="BG971" s="4"/>
      <c r="BH971" s="4"/>
      <c r="BI971" s="4"/>
      <c r="BJ971" s="4"/>
      <c r="BK971" s="4"/>
      <c r="BL971" s="4"/>
      <c r="BM971" s="4"/>
      <c r="BN971" s="4"/>
      <c r="BO971" s="4"/>
      <c r="BP971" s="4"/>
      <c r="BQ971" s="4"/>
      <c r="BR971" s="4"/>
      <c r="BS971" s="4"/>
      <c r="BT971" s="4"/>
      <c r="BU971" s="4"/>
      <c r="BV971" s="4"/>
    </row>
    <row r="972" spans="29:74" ht="13.2"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4"/>
      <c r="BE972" s="4"/>
      <c r="BF972" s="4"/>
      <c r="BG972" s="4"/>
      <c r="BH972" s="4"/>
      <c r="BI972" s="4"/>
      <c r="BJ972" s="4"/>
      <c r="BK972" s="4"/>
      <c r="BL972" s="4"/>
      <c r="BM972" s="4"/>
      <c r="BN972" s="4"/>
      <c r="BO972" s="4"/>
      <c r="BP972" s="4"/>
      <c r="BQ972" s="4"/>
      <c r="BR972" s="4"/>
      <c r="BS972" s="4"/>
      <c r="BT972" s="4"/>
      <c r="BU972" s="4"/>
      <c r="BV972" s="4"/>
    </row>
    <row r="973" spans="29:74" ht="13.2"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  <c r="BK973" s="4"/>
      <c r="BL973" s="4"/>
      <c r="BM973" s="4"/>
      <c r="BN973" s="4"/>
      <c r="BO973" s="4"/>
      <c r="BP973" s="4"/>
      <c r="BQ973" s="4"/>
      <c r="BR973" s="4"/>
      <c r="BS973" s="4"/>
      <c r="BT973" s="4"/>
      <c r="BU973" s="4"/>
      <c r="BV973" s="4"/>
    </row>
    <row r="974" spans="29:74" ht="13.2"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4"/>
      <c r="BE974" s="4"/>
      <c r="BF974" s="4"/>
      <c r="BG974" s="4"/>
      <c r="BH974" s="4"/>
      <c r="BI974" s="4"/>
      <c r="BJ974" s="4"/>
      <c r="BK974" s="4"/>
      <c r="BL974" s="4"/>
      <c r="BM974" s="4"/>
      <c r="BN974" s="4"/>
      <c r="BO974" s="4"/>
      <c r="BP974" s="4"/>
      <c r="BQ974" s="4"/>
      <c r="BR974" s="4"/>
      <c r="BS974" s="4"/>
      <c r="BT974" s="4"/>
      <c r="BU974" s="4"/>
      <c r="BV974" s="4"/>
    </row>
    <row r="975" spans="29:74" ht="13.2"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4"/>
      <c r="BE975" s="4"/>
      <c r="BF975" s="4"/>
      <c r="BG975" s="4"/>
      <c r="BH975" s="4"/>
      <c r="BI975" s="4"/>
      <c r="BJ975" s="4"/>
      <c r="BK975" s="4"/>
      <c r="BL975" s="4"/>
      <c r="BM975" s="4"/>
      <c r="BN975" s="4"/>
      <c r="BO975" s="4"/>
      <c r="BP975" s="4"/>
      <c r="BQ975" s="4"/>
      <c r="BR975" s="4"/>
      <c r="BS975" s="4"/>
      <c r="BT975" s="4"/>
      <c r="BU975" s="4"/>
      <c r="BV975" s="4"/>
    </row>
    <row r="976" spans="29:74" ht="13.2"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4"/>
      <c r="BE976" s="4"/>
      <c r="BF976" s="4"/>
      <c r="BG976" s="4"/>
      <c r="BH976" s="4"/>
      <c r="BI976" s="4"/>
      <c r="BJ976" s="4"/>
      <c r="BK976" s="4"/>
      <c r="BL976" s="4"/>
      <c r="BM976" s="4"/>
      <c r="BN976" s="4"/>
      <c r="BO976" s="4"/>
      <c r="BP976" s="4"/>
      <c r="BQ976" s="4"/>
      <c r="BR976" s="4"/>
      <c r="BS976" s="4"/>
      <c r="BT976" s="4"/>
      <c r="BU976" s="4"/>
      <c r="BV976" s="4"/>
    </row>
    <row r="977" spans="29:74" ht="13.2"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4"/>
      <c r="BE977" s="4"/>
      <c r="BF977" s="4"/>
      <c r="BG977" s="4"/>
      <c r="BH977" s="4"/>
      <c r="BI977" s="4"/>
      <c r="BJ977" s="4"/>
      <c r="BK977" s="4"/>
      <c r="BL977" s="4"/>
      <c r="BM977" s="4"/>
      <c r="BN977" s="4"/>
      <c r="BO977" s="4"/>
      <c r="BP977" s="4"/>
      <c r="BQ977" s="4"/>
      <c r="BR977" s="4"/>
      <c r="BS977" s="4"/>
      <c r="BT977" s="4"/>
      <c r="BU977" s="4"/>
      <c r="BV977" s="4"/>
    </row>
    <row r="978" spans="29:74" ht="13.2"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4"/>
      <c r="BE978" s="4"/>
      <c r="BF978" s="4"/>
      <c r="BG978" s="4"/>
      <c r="BH978" s="4"/>
      <c r="BI978" s="4"/>
      <c r="BJ978" s="4"/>
      <c r="BK978" s="4"/>
      <c r="BL978" s="4"/>
      <c r="BM978" s="4"/>
      <c r="BN978" s="4"/>
      <c r="BO978" s="4"/>
      <c r="BP978" s="4"/>
      <c r="BQ978" s="4"/>
      <c r="BR978" s="4"/>
      <c r="BS978" s="4"/>
      <c r="BT978" s="4"/>
      <c r="BU978" s="4"/>
      <c r="BV978" s="4"/>
    </row>
    <row r="979" spans="29:74" ht="13.2"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4"/>
      <c r="BE979" s="4"/>
      <c r="BF979" s="4"/>
      <c r="BG979" s="4"/>
      <c r="BH979" s="4"/>
      <c r="BI979" s="4"/>
      <c r="BJ979" s="4"/>
      <c r="BK979" s="4"/>
      <c r="BL979" s="4"/>
      <c r="BM979" s="4"/>
      <c r="BN979" s="4"/>
      <c r="BO979" s="4"/>
      <c r="BP979" s="4"/>
      <c r="BQ979" s="4"/>
      <c r="BR979" s="4"/>
      <c r="BS979" s="4"/>
      <c r="BT979" s="4"/>
      <c r="BU979" s="4"/>
      <c r="BV979" s="4"/>
    </row>
    <row r="980" spans="29:74" ht="13.2"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4"/>
      <c r="BE980" s="4"/>
      <c r="BF980" s="4"/>
      <c r="BG980" s="4"/>
      <c r="BH980" s="4"/>
      <c r="BI980" s="4"/>
      <c r="BJ980" s="4"/>
      <c r="BK980" s="4"/>
      <c r="BL980" s="4"/>
      <c r="BM980" s="4"/>
      <c r="BN980" s="4"/>
      <c r="BO980" s="4"/>
      <c r="BP980" s="4"/>
      <c r="BQ980" s="4"/>
      <c r="BR980" s="4"/>
      <c r="BS980" s="4"/>
      <c r="BT980" s="4"/>
      <c r="BU980" s="4"/>
      <c r="BV980" s="4"/>
    </row>
    <row r="981" spans="29:74" ht="13.2"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4"/>
      <c r="BE981" s="4"/>
      <c r="BF981" s="4"/>
      <c r="BG981" s="4"/>
      <c r="BH981" s="4"/>
      <c r="BI981" s="4"/>
      <c r="BJ981" s="4"/>
      <c r="BK981" s="4"/>
      <c r="BL981" s="4"/>
      <c r="BM981" s="4"/>
      <c r="BN981" s="4"/>
      <c r="BO981" s="4"/>
      <c r="BP981" s="4"/>
      <c r="BQ981" s="4"/>
      <c r="BR981" s="4"/>
      <c r="BS981" s="4"/>
      <c r="BT981" s="4"/>
      <c r="BU981" s="4"/>
      <c r="BV981" s="4"/>
    </row>
    <row r="982" spans="29:74" ht="13.2"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4"/>
      <c r="BE982" s="4"/>
      <c r="BF982" s="4"/>
      <c r="BG982" s="4"/>
      <c r="BH982" s="4"/>
      <c r="BI982" s="4"/>
      <c r="BJ982" s="4"/>
      <c r="BK982" s="4"/>
      <c r="BL982" s="4"/>
      <c r="BM982" s="4"/>
      <c r="BN982" s="4"/>
      <c r="BO982" s="4"/>
      <c r="BP982" s="4"/>
      <c r="BQ982" s="4"/>
      <c r="BR982" s="4"/>
      <c r="BS982" s="4"/>
      <c r="BT982" s="4"/>
      <c r="BU982" s="4"/>
      <c r="BV982" s="4"/>
    </row>
    <row r="983" spans="29:74" ht="13.2"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4"/>
      <c r="BE983" s="4"/>
      <c r="BF983" s="4"/>
      <c r="BG983" s="4"/>
      <c r="BH983" s="4"/>
      <c r="BI983" s="4"/>
      <c r="BJ983" s="4"/>
      <c r="BK983" s="4"/>
      <c r="BL983" s="4"/>
      <c r="BM983" s="4"/>
      <c r="BN983" s="4"/>
      <c r="BO983" s="4"/>
      <c r="BP983" s="4"/>
      <c r="BQ983" s="4"/>
      <c r="BR983" s="4"/>
      <c r="BS983" s="4"/>
      <c r="BT983" s="4"/>
      <c r="BU983" s="4"/>
      <c r="BV983" s="4"/>
    </row>
    <row r="984" spans="29:74" ht="13.2"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4"/>
      <c r="BE984" s="4"/>
      <c r="BF984" s="4"/>
      <c r="BG984" s="4"/>
      <c r="BH984" s="4"/>
      <c r="BI984" s="4"/>
      <c r="BJ984" s="4"/>
      <c r="BK984" s="4"/>
      <c r="BL984" s="4"/>
      <c r="BM984" s="4"/>
      <c r="BN984" s="4"/>
      <c r="BO984" s="4"/>
      <c r="BP984" s="4"/>
      <c r="BQ984" s="4"/>
      <c r="BR984" s="4"/>
      <c r="BS984" s="4"/>
      <c r="BT984" s="4"/>
      <c r="BU984" s="4"/>
      <c r="BV984" s="4"/>
    </row>
    <row r="985" spans="29:74" ht="13.2"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4"/>
      <c r="BE985" s="4"/>
      <c r="BF985" s="4"/>
      <c r="BG985" s="4"/>
      <c r="BH985" s="4"/>
      <c r="BI985" s="4"/>
      <c r="BJ985" s="4"/>
      <c r="BK985" s="4"/>
      <c r="BL985" s="4"/>
      <c r="BM985" s="4"/>
      <c r="BN985" s="4"/>
      <c r="BO985" s="4"/>
      <c r="BP985" s="4"/>
      <c r="BQ985" s="4"/>
      <c r="BR985" s="4"/>
      <c r="BS985" s="4"/>
      <c r="BT985" s="4"/>
      <c r="BU985" s="4"/>
      <c r="BV985" s="4"/>
    </row>
    <row r="986" spans="29:74" ht="13.2"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4"/>
      <c r="BE986" s="4"/>
      <c r="BF986" s="4"/>
      <c r="BG986" s="4"/>
      <c r="BH986" s="4"/>
      <c r="BI986" s="4"/>
      <c r="BJ986" s="4"/>
      <c r="BK986" s="4"/>
      <c r="BL986" s="4"/>
      <c r="BM986" s="4"/>
      <c r="BN986" s="4"/>
      <c r="BO986" s="4"/>
      <c r="BP986" s="4"/>
      <c r="BQ986" s="4"/>
      <c r="BR986" s="4"/>
      <c r="BS986" s="4"/>
      <c r="BT986" s="4"/>
      <c r="BU986" s="4"/>
      <c r="BV986" s="4"/>
    </row>
    <row r="987" spans="29:74" ht="13.2"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  <c r="BK987" s="4"/>
      <c r="BL987" s="4"/>
      <c r="BM987" s="4"/>
      <c r="BN987" s="4"/>
      <c r="BO987" s="4"/>
      <c r="BP987" s="4"/>
      <c r="BQ987" s="4"/>
      <c r="BR987" s="4"/>
      <c r="BS987" s="4"/>
      <c r="BT987" s="4"/>
      <c r="BU987" s="4"/>
      <c r="BV987" s="4"/>
    </row>
    <row r="988" spans="29:74" ht="13.2"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4"/>
      <c r="BE988" s="4"/>
      <c r="BF988" s="4"/>
      <c r="BG988" s="4"/>
      <c r="BH988" s="4"/>
      <c r="BI988" s="4"/>
      <c r="BJ988" s="4"/>
      <c r="BK988" s="4"/>
      <c r="BL988" s="4"/>
      <c r="BM988" s="4"/>
      <c r="BN988" s="4"/>
      <c r="BO988" s="4"/>
      <c r="BP988" s="4"/>
      <c r="BQ988" s="4"/>
      <c r="BR988" s="4"/>
      <c r="BS988" s="4"/>
      <c r="BT988" s="4"/>
      <c r="BU988" s="4"/>
      <c r="BV988" s="4"/>
    </row>
    <row r="989" spans="29:74" ht="13.2"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4"/>
      <c r="BE989" s="4"/>
      <c r="BF989" s="4"/>
      <c r="BG989" s="4"/>
      <c r="BH989" s="4"/>
      <c r="BI989" s="4"/>
      <c r="BJ989" s="4"/>
      <c r="BK989" s="4"/>
      <c r="BL989" s="4"/>
      <c r="BM989" s="4"/>
      <c r="BN989" s="4"/>
      <c r="BO989" s="4"/>
      <c r="BP989" s="4"/>
      <c r="BQ989" s="4"/>
      <c r="BR989" s="4"/>
      <c r="BS989" s="4"/>
      <c r="BT989" s="4"/>
      <c r="BU989" s="4"/>
      <c r="BV989" s="4"/>
    </row>
    <row r="990" spans="29:74" ht="13.2"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4"/>
      <c r="BE990" s="4"/>
      <c r="BF990" s="4"/>
      <c r="BG990" s="4"/>
      <c r="BH990" s="4"/>
      <c r="BI990" s="4"/>
      <c r="BJ990" s="4"/>
      <c r="BK990" s="4"/>
      <c r="BL990" s="4"/>
      <c r="BM990" s="4"/>
      <c r="BN990" s="4"/>
      <c r="BO990" s="4"/>
      <c r="BP990" s="4"/>
      <c r="BQ990" s="4"/>
      <c r="BR990" s="4"/>
      <c r="BS990" s="4"/>
      <c r="BT990" s="4"/>
      <c r="BU990" s="4"/>
      <c r="BV990" s="4"/>
    </row>
    <row r="991" spans="29:74" ht="13.2"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4"/>
      <c r="BE991" s="4"/>
      <c r="BF991" s="4"/>
      <c r="BG991" s="4"/>
      <c r="BH991" s="4"/>
      <c r="BI991" s="4"/>
      <c r="BJ991" s="4"/>
      <c r="BK991" s="4"/>
      <c r="BL991" s="4"/>
      <c r="BM991" s="4"/>
      <c r="BN991" s="4"/>
      <c r="BO991" s="4"/>
      <c r="BP991" s="4"/>
      <c r="BQ991" s="4"/>
      <c r="BR991" s="4"/>
      <c r="BS991" s="4"/>
      <c r="BT991" s="4"/>
      <c r="BU991" s="4"/>
      <c r="BV991" s="4"/>
    </row>
    <row r="992" spans="29:74" ht="13.2"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4"/>
      <c r="BE992" s="4"/>
      <c r="BF992" s="4"/>
      <c r="BG992" s="4"/>
      <c r="BH992" s="4"/>
      <c r="BI992" s="4"/>
      <c r="BJ992" s="4"/>
      <c r="BK992" s="4"/>
      <c r="BL992" s="4"/>
      <c r="BM992" s="4"/>
      <c r="BN992" s="4"/>
      <c r="BO992" s="4"/>
      <c r="BP992" s="4"/>
      <c r="BQ992" s="4"/>
      <c r="BR992" s="4"/>
      <c r="BS992" s="4"/>
      <c r="BT992" s="4"/>
      <c r="BU992" s="4"/>
      <c r="BV992" s="4"/>
    </row>
    <row r="993" spans="29:74" ht="13.2"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4"/>
      <c r="BE993" s="4"/>
      <c r="BF993" s="4"/>
      <c r="BG993" s="4"/>
      <c r="BH993" s="4"/>
      <c r="BI993" s="4"/>
      <c r="BJ993" s="4"/>
      <c r="BK993" s="4"/>
      <c r="BL993" s="4"/>
      <c r="BM993" s="4"/>
      <c r="BN993" s="4"/>
      <c r="BO993" s="4"/>
      <c r="BP993" s="4"/>
      <c r="BQ993" s="4"/>
      <c r="BR993" s="4"/>
      <c r="BS993" s="4"/>
      <c r="BT993" s="4"/>
      <c r="BU993" s="4"/>
      <c r="BV993" s="4"/>
    </row>
    <row r="994" spans="29:74" ht="13.2"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  <c r="AY994" s="4"/>
      <c r="AZ994" s="4"/>
      <c r="BA994" s="4"/>
      <c r="BB994" s="4"/>
      <c r="BC994" s="4"/>
      <c r="BD994" s="4"/>
      <c r="BE994" s="4"/>
      <c r="BF994" s="4"/>
      <c r="BG994" s="4"/>
      <c r="BH994" s="4"/>
      <c r="BI994" s="4"/>
      <c r="BJ994" s="4"/>
      <c r="BK994" s="4"/>
      <c r="BL994" s="4"/>
      <c r="BM994" s="4"/>
      <c r="BN994" s="4"/>
      <c r="BO994" s="4"/>
      <c r="BP994" s="4"/>
      <c r="BQ994" s="4"/>
      <c r="BR994" s="4"/>
      <c r="BS994" s="4"/>
      <c r="BT994" s="4"/>
      <c r="BU994" s="4"/>
      <c r="BV994" s="4"/>
    </row>
    <row r="995" spans="29:74" ht="13.2"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  <c r="AY995" s="4"/>
      <c r="AZ995" s="4"/>
      <c r="BA995" s="4"/>
      <c r="BB995" s="4"/>
      <c r="BC995" s="4"/>
      <c r="BD995" s="4"/>
      <c r="BE995" s="4"/>
      <c r="BF995" s="4"/>
      <c r="BG995" s="4"/>
      <c r="BH995" s="4"/>
      <c r="BI995" s="4"/>
      <c r="BJ995" s="4"/>
      <c r="BK995" s="4"/>
      <c r="BL995" s="4"/>
      <c r="BM995" s="4"/>
      <c r="BN995" s="4"/>
      <c r="BO995" s="4"/>
      <c r="BP995" s="4"/>
      <c r="BQ995" s="4"/>
      <c r="BR995" s="4"/>
      <c r="BS995" s="4"/>
      <c r="BT995" s="4"/>
      <c r="BU995" s="4"/>
      <c r="BV995" s="4"/>
    </row>
    <row r="996" spans="29:74" ht="13.2"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  <c r="AY996" s="4"/>
      <c r="AZ996" s="4"/>
      <c r="BA996" s="4"/>
      <c r="BB996" s="4"/>
      <c r="BC996" s="4"/>
      <c r="BD996" s="4"/>
      <c r="BE996" s="4"/>
      <c r="BF996" s="4"/>
      <c r="BG996" s="4"/>
      <c r="BH996" s="4"/>
      <c r="BI996" s="4"/>
      <c r="BJ996" s="4"/>
      <c r="BK996" s="4"/>
      <c r="BL996" s="4"/>
      <c r="BM996" s="4"/>
      <c r="BN996" s="4"/>
      <c r="BO996" s="4"/>
      <c r="BP996" s="4"/>
      <c r="BQ996" s="4"/>
      <c r="BR996" s="4"/>
      <c r="BS996" s="4"/>
      <c r="BT996" s="4"/>
      <c r="BU996" s="4"/>
      <c r="BV996" s="4"/>
    </row>
    <row r="997" spans="29:74" ht="13.2"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  <c r="AY997" s="4"/>
      <c r="AZ997" s="4"/>
      <c r="BA997" s="4"/>
      <c r="BB997" s="4"/>
      <c r="BC997" s="4"/>
      <c r="BD997" s="4"/>
      <c r="BE997" s="4"/>
      <c r="BF997" s="4"/>
      <c r="BG997" s="4"/>
      <c r="BH997" s="4"/>
      <c r="BI997" s="4"/>
      <c r="BJ997" s="4"/>
      <c r="BK997" s="4"/>
      <c r="BL997" s="4"/>
      <c r="BM997" s="4"/>
      <c r="BN997" s="4"/>
      <c r="BO997" s="4"/>
      <c r="BP997" s="4"/>
      <c r="BQ997" s="4"/>
      <c r="BR997" s="4"/>
      <c r="BS997" s="4"/>
      <c r="BT997" s="4"/>
      <c r="BU997" s="4"/>
      <c r="BV997" s="4"/>
    </row>
    <row r="998" spans="29:74" ht="13.2"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  <c r="AY998" s="4"/>
      <c r="AZ998" s="4"/>
      <c r="BA998" s="4"/>
      <c r="BB998" s="4"/>
      <c r="BC998" s="4"/>
      <c r="BD998" s="4"/>
      <c r="BE998" s="4"/>
      <c r="BF998" s="4"/>
      <c r="BG998" s="4"/>
      <c r="BH998" s="4"/>
      <c r="BI998" s="4"/>
      <c r="BJ998" s="4"/>
      <c r="BK998" s="4"/>
      <c r="BL998" s="4"/>
      <c r="BM998" s="4"/>
      <c r="BN998" s="4"/>
      <c r="BO998" s="4"/>
      <c r="BP998" s="4"/>
      <c r="BQ998" s="4"/>
      <c r="BR998" s="4"/>
      <c r="BS998" s="4"/>
      <c r="BT998" s="4"/>
      <c r="BU998" s="4"/>
      <c r="BV998" s="4"/>
    </row>
    <row r="999" spans="29:74" ht="13.2"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  <c r="AY999" s="4"/>
      <c r="AZ999" s="4"/>
      <c r="BA999" s="4"/>
      <c r="BB999" s="4"/>
      <c r="BC999" s="4"/>
      <c r="BD999" s="4"/>
      <c r="BE999" s="4"/>
      <c r="BF999" s="4"/>
      <c r="BG999" s="4"/>
      <c r="BH999" s="4"/>
      <c r="BI999" s="4"/>
      <c r="BJ999" s="4"/>
      <c r="BK999" s="4"/>
      <c r="BL999" s="4"/>
      <c r="BM999" s="4"/>
      <c r="BN999" s="4"/>
      <c r="BO999" s="4"/>
      <c r="BP999" s="4"/>
      <c r="BQ999" s="4"/>
      <c r="BR999" s="4"/>
      <c r="BS999" s="4"/>
      <c r="BT999" s="4"/>
      <c r="BU999" s="4"/>
      <c r="BV999" s="4"/>
    </row>
    <row r="1000" spans="29:74" ht="13.2"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  <c r="AY1000" s="4"/>
      <c r="AZ1000" s="4"/>
      <c r="BA1000" s="4"/>
      <c r="BB1000" s="4"/>
      <c r="BC1000" s="4"/>
      <c r="BD1000" s="4"/>
      <c r="BE1000" s="4"/>
      <c r="BF1000" s="4"/>
      <c r="BG1000" s="4"/>
      <c r="BH1000" s="4"/>
      <c r="BI1000" s="4"/>
      <c r="BJ1000" s="4"/>
      <c r="BK1000" s="4"/>
      <c r="BL1000" s="4"/>
      <c r="BM1000" s="4"/>
      <c r="BN1000" s="4"/>
      <c r="BO1000" s="4"/>
      <c r="BP1000" s="4"/>
      <c r="BQ1000" s="4"/>
      <c r="BR1000" s="4"/>
      <c r="BS1000" s="4"/>
      <c r="BT1000" s="4"/>
      <c r="BU1000" s="4"/>
      <c r="BV1000" s="4"/>
    </row>
    <row r="1001" spans="29:74" ht="13.2"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4"/>
      <c r="AS1001" s="4"/>
      <c r="AT1001" s="4"/>
      <c r="AU1001" s="4"/>
      <c r="AV1001" s="4"/>
      <c r="AW1001" s="4"/>
      <c r="AX1001" s="4"/>
      <c r="AY1001" s="4"/>
      <c r="AZ1001" s="4"/>
      <c r="BA1001" s="4"/>
      <c r="BB1001" s="4"/>
      <c r="BC1001" s="4"/>
      <c r="BD1001" s="4"/>
      <c r="BE1001" s="4"/>
      <c r="BF1001" s="4"/>
      <c r="BG1001" s="4"/>
      <c r="BH1001" s="4"/>
      <c r="BI1001" s="4"/>
      <c r="BJ1001" s="4"/>
      <c r="BK1001" s="4"/>
      <c r="BL1001" s="4"/>
      <c r="BM1001" s="4"/>
      <c r="BN1001" s="4"/>
      <c r="BO1001" s="4"/>
      <c r="BP1001" s="4"/>
      <c r="BQ1001" s="4"/>
      <c r="BR1001" s="4"/>
      <c r="BS1001" s="4"/>
      <c r="BT1001" s="4"/>
      <c r="BU1001" s="4"/>
      <c r="BV1001" s="4"/>
    </row>
    <row r="1002" spans="29:74" ht="13.2"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  <c r="AT1002" s="4"/>
      <c r="AU1002" s="4"/>
      <c r="AV1002" s="4"/>
      <c r="AW1002" s="4"/>
      <c r="AX1002" s="4"/>
      <c r="AY1002" s="4"/>
      <c r="AZ1002" s="4"/>
      <c r="BA1002" s="4"/>
      <c r="BB1002" s="4"/>
      <c r="BC1002" s="4"/>
      <c r="BD1002" s="4"/>
      <c r="BE1002" s="4"/>
      <c r="BF1002" s="4"/>
      <c r="BG1002" s="4"/>
      <c r="BH1002" s="4"/>
      <c r="BI1002" s="4"/>
      <c r="BJ1002" s="4"/>
      <c r="BK1002" s="4"/>
      <c r="BL1002" s="4"/>
      <c r="BM1002" s="4"/>
      <c r="BN1002" s="4"/>
      <c r="BO1002" s="4"/>
      <c r="BP1002" s="4"/>
      <c r="BQ1002" s="4"/>
      <c r="BR1002" s="4"/>
      <c r="BS1002" s="4"/>
      <c r="BT1002" s="4"/>
      <c r="BU1002" s="4"/>
      <c r="BV1002" s="4"/>
    </row>
    <row r="1003" spans="29:74" ht="13.2"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  <c r="AN1003" s="4"/>
      <c r="AO1003" s="4"/>
      <c r="AP1003" s="4"/>
      <c r="AQ1003" s="4"/>
      <c r="AR1003" s="4"/>
      <c r="AS1003" s="4"/>
      <c r="AT1003" s="4"/>
      <c r="AU1003" s="4"/>
      <c r="AV1003" s="4"/>
      <c r="AW1003" s="4"/>
      <c r="AX1003" s="4"/>
      <c r="AY1003" s="4"/>
      <c r="AZ1003" s="4"/>
      <c r="BA1003" s="4"/>
      <c r="BB1003" s="4"/>
      <c r="BC1003" s="4"/>
      <c r="BD1003" s="4"/>
      <c r="BE1003" s="4"/>
      <c r="BF1003" s="4"/>
      <c r="BG1003" s="4"/>
      <c r="BH1003" s="4"/>
      <c r="BI1003" s="4"/>
      <c r="BJ1003" s="4"/>
      <c r="BK1003" s="4"/>
      <c r="BL1003" s="4"/>
      <c r="BM1003" s="4"/>
      <c r="BN1003" s="4"/>
      <c r="BO1003" s="4"/>
      <c r="BP1003" s="4"/>
      <c r="BQ1003" s="4"/>
      <c r="BR1003" s="4"/>
      <c r="BS1003" s="4"/>
      <c r="BT1003" s="4"/>
      <c r="BU1003" s="4"/>
      <c r="BV1003" s="4"/>
    </row>
    <row r="1004" spans="29:74" ht="13.2">
      <c r="AC1004" s="4"/>
      <c r="AD1004" s="4"/>
      <c r="AE1004" s="4"/>
      <c r="AF1004" s="4"/>
      <c r="AG1004" s="4"/>
      <c r="AH1004" s="4"/>
      <c r="AI1004" s="4"/>
      <c r="AJ1004" s="4"/>
      <c r="AK1004" s="4"/>
      <c r="AL1004" s="4"/>
      <c r="AM1004" s="4"/>
      <c r="AN1004" s="4"/>
      <c r="AO1004" s="4"/>
      <c r="AP1004" s="4"/>
      <c r="AQ1004" s="4"/>
      <c r="AR1004" s="4"/>
      <c r="AS1004" s="4"/>
      <c r="AT1004" s="4"/>
      <c r="AU1004" s="4"/>
      <c r="AV1004" s="4"/>
      <c r="AW1004" s="4"/>
      <c r="AX1004" s="4"/>
      <c r="AY1004" s="4"/>
      <c r="AZ1004" s="4"/>
      <c r="BA1004" s="4"/>
      <c r="BB1004" s="4"/>
      <c r="BC1004" s="4"/>
      <c r="BD1004" s="4"/>
      <c r="BE1004" s="4"/>
      <c r="BF1004" s="4"/>
      <c r="BG1004" s="4"/>
      <c r="BH1004" s="4"/>
      <c r="BI1004" s="4"/>
      <c r="BJ1004" s="4"/>
      <c r="BK1004" s="4"/>
      <c r="BL1004" s="4"/>
      <c r="BM1004" s="4"/>
      <c r="BN1004" s="4"/>
      <c r="BO1004" s="4"/>
      <c r="BP1004" s="4"/>
      <c r="BQ1004" s="4"/>
      <c r="BR1004" s="4"/>
      <c r="BS1004" s="4"/>
      <c r="BT1004" s="4"/>
      <c r="BU1004" s="4"/>
      <c r="BV1004" s="4"/>
    </row>
    <row r="1005" spans="29:74" ht="13.2">
      <c r="AC1005" s="4"/>
      <c r="AD1005" s="4"/>
      <c r="AE1005" s="4"/>
      <c r="AF1005" s="4"/>
      <c r="AG1005" s="4"/>
      <c r="AH1005" s="4"/>
      <c r="AI1005" s="4"/>
      <c r="AJ1005" s="4"/>
      <c r="AK1005" s="4"/>
      <c r="AL1005" s="4"/>
      <c r="AM1005" s="4"/>
      <c r="AN1005" s="4"/>
      <c r="AO1005" s="4"/>
      <c r="AP1005" s="4"/>
      <c r="AQ1005" s="4"/>
      <c r="AR1005" s="4"/>
      <c r="AS1005" s="4"/>
      <c r="AT1005" s="4"/>
      <c r="AU1005" s="4"/>
      <c r="AV1005" s="4"/>
      <c r="AW1005" s="4"/>
      <c r="AX1005" s="4"/>
      <c r="AY1005" s="4"/>
      <c r="AZ1005" s="4"/>
      <c r="BA1005" s="4"/>
      <c r="BB1005" s="4"/>
      <c r="BC1005" s="4"/>
      <c r="BD1005" s="4"/>
      <c r="BE1005" s="4"/>
      <c r="BF1005" s="4"/>
      <c r="BG1005" s="4"/>
      <c r="BH1005" s="4"/>
      <c r="BI1005" s="4"/>
      <c r="BJ1005" s="4"/>
      <c r="BK1005" s="4"/>
      <c r="BL1005" s="4"/>
      <c r="BM1005" s="4"/>
      <c r="BN1005" s="4"/>
      <c r="BO1005" s="4"/>
      <c r="BP1005" s="4"/>
      <c r="BQ1005" s="4"/>
      <c r="BR1005" s="4"/>
      <c r="BS1005" s="4"/>
      <c r="BT1005" s="4"/>
      <c r="BU1005" s="4"/>
      <c r="BV1005" s="4"/>
    </row>
    <row r="1006" spans="29:74" ht="13.2">
      <c r="AC1006" s="4"/>
      <c r="AD1006" s="4"/>
      <c r="AE1006" s="4"/>
      <c r="AF1006" s="4"/>
      <c r="AG1006" s="4"/>
      <c r="AH1006" s="4"/>
      <c r="AI1006" s="4"/>
      <c r="AJ1006" s="4"/>
      <c r="AK1006" s="4"/>
      <c r="AL1006" s="4"/>
      <c r="AM1006" s="4"/>
      <c r="AN1006" s="4"/>
      <c r="AO1006" s="4"/>
      <c r="AP1006" s="4"/>
      <c r="AQ1006" s="4"/>
      <c r="AR1006" s="4"/>
      <c r="AS1006" s="4"/>
      <c r="AT1006" s="4"/>
      <c r="AU1006" s="4"/>
      <c r="AV1006" s="4"/>
      <c r="AW1006" s="4"/>
      <c r="AX1006" s="4"/>
      <c r="AY1006" s="4"/>
      <c r="AZ1006" s="4"/>
      <c r="BA1006" s="4"/>
      <c r="BB1006" s="4"/>
      <c r="BC1006" s="4"/>
      <c r="BD1006" s="4"/>
      <c r="BE1006" s="4"/>
      <c r="BF1006" s="4"/>
      <c r="BG1006" s="4"/>
      <c r="BH1006" s="4"/>
      <c r="BI1006" s="4"/>
      <c r="BJ1006" s="4"/>
      <c r="BK1006" s="4"/>
      <c r="BL1006" s="4"/>
      <c r="BM1006" s="4"/>
      <c r="BN1006" s="4"/>
      <c r="BO1006" s="4"/>
      <c r="BP1006" s="4"/>
      <c r="BQ1006" s="4"/>
      <c r="BR1006" s="4"/>
      <c r="BS1006" s="4"/>
      <c r="BT1006" s="4"/>
      <c r="BU1006" s="4"/>
      <c r="BV1006" s="4"/>
    </row>
    <row r="1007" spans="29:74" ht="13.2">
      <c r="AC1007" s="4"/>
      <c r="AD1007" s="4"/>
      <c r="AE1007" s="4"/>
      <c r="AF1007" s="4"/>
      <c r="AG1007" s="4"/>
      <c r="AH1007" s="4"/>
      <c r="AI1007" s="4"/>
      <c r="AJ1007" s="4"/>
      <c r="AK1007" s="4"/>
      <c r="AL1007" s="4"/>
      <c r="AM1007" s="4"/>
      <c r="AN1007" s="4"/>
      <c r="AO1007" s="4"/>
      <c r="AP1007" s="4"/>
      <c r="AQ1007" s="4"/>
      <c r="AR1007" s="4"/>
      <c r="AS1007" s="4"/>
      <c r="AT1007" s="4"/>
      <c r="AU1007" s="4"/>
      <c r="AV1007" s="4"/>
      <c r="AW1007" s="4"/>
      <c r="AX1007" s="4"/>
      <c r="AY1007" s="4"/>
      <c r="AZ1007" s="4"/>
      <c r="BA1007" s="4"/>
      <c r="BB1007" s="4"/>
      <c r="BC1007" s="4"/>
      <c r="BD1007" s="4"/>
      <c r="BE1007" s="4"/>
      <c r="BF1007" s="4"/>
      <c r="BG1007" s="4"/>
      <c r="BH1007" s="4"/>
      <c r="BI1007" s="4"/>
      <c r="BJ1007" s="4"/>
      <c r="BK1007" s="4"/>
      <c r="BL1007" s="4"/>
      <c r="BM1007" s="4"/>
      <c r="BN1007" s="4"/>
      <c r="BO1007" s="4"/>
      <c r="BP1007" s="4"/>
      <c r="BQ1007" s="4"/>
      <c r="BR1007" s="4"/>
      <c r="BS1007" s="4"/>
      <c r="BT1007" s="4"/>
      <c r="BU1007" s="4"/>
      <c r="BV1007" s="4"/>
    </row>
    <row r="1008" spans="29:74" ht="13.2">
      <c r="AC1008" s="4"/>
      <c r="AD1008" s="4"/>
      <c r="AE1008" s="4"/>
      <c r="AF1008" s="4"/>
      <c r="AG1008" s="4"/>
      <c r="AH1008" s="4"/>
      <c r="AI1008" s="4"/>
      <c r="AJ1008" s="4"/>
      <c r="AK1008" s="4"/>
      <c r="AL1008" s="4"/>
      <c r="AM1008" s="4"/>
      <c r="AN1008" s="4"/>
      <c r="AO1008" s="4"/>
      <c r="AP1008" s="4"/>
      <c r="AQ1008" s="4"/>
      <c r="AR1008" s="4"/>
      <c r="AS1008" s="4"/>
      <c r="AT1008" s="4"/>
      <c r="AU1008" s="4"/>
      <c r="AV1008" s="4"/>
      <c r="AW1008" s="4"/>
      <c r="AX1008" s="4"/>
      <c r="AY1008" s="4"/>
      <c r="AZ1008" s="4"/>
      <c r="BA1008" s="4"/>
      <c r="BB1008" s="4"/>
      <c r="BC1008" s="4"/>
      <c r="BD1008" s="4"/>
      <c r="BE1008" s="4"/>
      <c r="BF1008" s="4"/>
      <c r="BG1008" s="4"/>
      <c r="BH1008" s="4"/>
      <c r="BI1008" s="4"/>
      <c r="BJ1008" s="4"/>
      <c r="BK1008" s="4"/>
      <c r="BL1008" s="4"/>
      <c r="BM1008" s="4"/>
      <c r="BN1008" s="4"/>
      <c r="BO1008" s="4"/>
      <c r="BP1008" s="4"/>
      <c r="BQ1008" s="4"/>
      <c r="BR1008" s="4"/>
      <c r="BS1008" s="4"/>
      <c r="BT1008" s="4"/>
      <c r="BU1008" s="4"/>
      <c r="BV1008" s="4"/>
    </row>
    <row r="1009" spans="29:74" ht="13.2">
      <c r="AC1009" s="4"/>
      <c r="AD1009" s="4"/>
      <c r="AE1009" s="4"/>
      <c r="AF1009" s="4"/>
      <c r="AG1009" s="4"/>
      <c r="AH1009" s="4"/>
      <c r="AI1009" s="4"/>
      <c r="AJ1009" s="4"/>
      <c r="AK1009" s="4"/>
      <c r="AL1009" s="4"/>
      <c r="AM1009" s="4"/>
      <c r="AN1009" s="4"/>
      <c r="AO1009" s="4"/>
      <c r="AP1009" s="4"/>
      <c r="AQ1009" s="4"/>
      <c r="AR1009" s="4"/>
      <c r="AS1009" s="4"/>
      <c r="AT1009" s="4"/>
      <c r="AU1009" s="4"/>
      <c r="AV1009" s="4"/>
      <c r="AW1009" s="4"/>
      <c r="AX1009" s="4"/>
      <c r="AY1009" s="4"/>
      <c r="AZ1009" s="4"/>
      <c r="BA1009" s="4"/>
      <c r="BB1009" s="4"/>
      <c r="BC1009" s="4"/>
      <c r="BD1009" s="4"/>
      <c r="BE1009" s="4"/>
      <c r="BF1009" s="4"/>
      <c r="BG1009" s="4"/>
      <c r="BH1009" s="4"/>
      <c r="BI1009" s="4"/>
      <c r="BJ1009" s="4"/>
      <c r="BK1009" s="4"/>
      <c r="BL1009" s="4"/>
      <c r="BM1009" s="4"/>
      <c r="BN1009" s="4"/>
      <c r="BO1009" s="4"/>
      <c r="BP1009" s="4"/>
      <c r="BQ1009" s="4"/>
      <c r="BR1009" s="4"/>
      <c r="BS1009" s="4"/>
      <c r="BT1009" s="4"/>
      <c r="BU1009" s="4"/>
      <c r="BV1009" s="4"/>
    </row>
    <row r="1010" spans="29:74" ht="13.2">
      <c r="AC1010" s="4"/>
      <c r="AD1010" s="4"/>
      <c r="AE1010" s="4"/>
      <c r="AF1010" s="4"/>
      <c r="AG1010" s="4"/>
      <c r="AH1010" s="4"/>
      <c r="AI1010" s="4"/>
      <c r="AJ1010" s="4"/>
      <c r="AK1010" s="4"/>
      <c r="AL1010" s="4"/>
      <c r="AM1010" s="4"/>
      <c r="AN1010" s="4"/>
      <c r="AO1010" s="4"/>
      <c r="AP1010" s="4"/>
      <c r="AQ1010" s="4"/>
      <c r="AR1010" s="4"/>
      <c r="AS1010" s="4"/>
      <c r="AT1010" s="4"/>
      <c r="AU1010" s="4"/>
      <c r="AV1010" s="4"/>
      <c r="AW1010" s="4"/>
      <c r="AX1010" s="4"/>
      <c r="AY1010" s="4"/>
      <c r="AZ1010" s="4"/>
      <c r="BA1010" s="4"/>
      <c r="BB1010" s="4"/>
      <c r="BC1010" s="4"/>
      <c r="BD1010" s="4"/>
      <c r="BE1010" s="4"/>
      <c r="BF1010" s="4"/>
      <c r="BG1010" s="4"/>
      <c r="BH1010" s="4"/>
      <c r="BI1010" s="4"/>
      <c r="BJ1010" s="4"/>
      <c r="BK1010" s="4"/>
      <c r="BL1010" s="4"/>
      <c r="BM1010" s="4"/>
      <c r="BN1010" s="4"/>
      <c r="BO1010" s="4"/>
      <c r="BP1010" s="4"/>
      <c r="BQ1010" s="4"/>
      <c r="BR1010" s="4"/>
      <c r="BS1010" s="4"/>
      <c r="BT1010" s="4"/>
      <c r="BU1010" s="4"/>
      <c r="BV1010" s="4"/>
    </row>
    <row r="1011" spans="29:74" ht="13.2">
      <c r="AC1011" s="4"/>
      <c r="AD1011" s="4"/>
      <c r="AE1011" s="4"/>
      <c r="AF1011" s="4"/>
      <c r="AG1011" s="4"/>
      <c r="AH1011" s="4"/>
      <c r="AI1011" s="4"/>
      <c r="AJ1011" s="4"/>
      <c r="AK1011" s="4"/>
      <c r="AL1011" s="4"/>
      <c r="AM1011" s="4"/>
      <c r="AN1011" s="4"/>
      <c r="AO1011" s="4"/>
      <c r="AP1011" s="4"/>
      <c r="AQ1011" s="4"/>
      <c r="AR1011" s="4"/>
      <c r="AS1011" s="4"/>
      <c r="AT1011" s="4"/>
      <c r="AU1011" s="4"/>
      <c r="AV1011" s="4"/>
      <c r="AW1011" s="4"/>
      <c r="AX1011" s="4"/>
      <c r="AY1011" s="4"/>
      <c r="AZ1011" s="4"/>
      <c r="BA1011" s="4"/>
      <c r="BB1011" s="4"/>
      <c r="BC1011" s="4"/>
      <c r="BD1011" s="4"/>
      <c r="BE1011" s="4"/>
      <c r="BF1011" s="4"/>
      <c r="BG1011" s="4"/>
      <c r="BH1011" s="4"/>
      <c r="BI1011" s="4"/>
      <c r="BJ1011" s="4"/>
      <c r="BK1011" s="4"/>
      <c r="BL1011" s="4"/>
      <c r="BM1011" s="4"/>
      <c r="BN1011" s="4"/>
      <c r="BO1011" s="4"/>
      <c r="BP1011" s="4"/>
      <c r="BQ1011" s="4"/>
      <c r="BR1011" s="4"/>
      <c r="BS1011" s="4"/>
      <c r="BT1011" s="4"/>
      <c r="BU1011" s="4"/>
      <c r="BV1011" s="4"/>
    </row>
    <row r="1012" spans="29:74" ht="13.2">
      <c r="AC1012" s="4"/>
      <c r="AD1012" s="4"/>
      <c r="AE1012" s="4"/>
      <c r="AF1012" s="4"/>
      <c r="AG1012" s="4"/>
      <c r="AH1012" s="4"/>
      <c r="AI1012" s="4"/>
      <c r="AJ1012" s="4"/>
      <c r="AK1012" s="4"/>
      <c r="AL1012" s="4"/>
      <c r="AM1012" s="4"/>
      <c r="AN1012" s="4"/>
      <c r="AO1012" s="4"/>
      <c r="AP1012" s="4"/>
      <c r="AQ1012" s="4"/>
      <c r="AR1012" s="4"/>
      <c r="AS1012" s="4"/>
      <c r="AT1012" s="4"/>
      <c r="AU1012" s="4"/>
      <c r="AV1012" s="4"/>
      <c r="AW1012" s="4"/>
      <c r="AX1012" s="4"/>
      <c r="AY1012" s="4"/>
      <c r="AZ1012" s="4"/>
      <c r="BA1012" s="4"/>
      <c r="BB1012" s="4"/>
      <c r="BC1012" s="4"/>
      <c r="BD1012" s="4"/>
      <c r="BE1012" s="4"/>
      <c r="BF1012" s="4"/>
      <c r="BG1012" s="4"/>
      <c r="BH1012" s="4"/>
      <c r="BI1012" s="4"/>
      <c r="BJ1012" s="4"/>
      <c r="BK1012" s="4"/>
      <c r="BL1012" s="4"/>
      <c r="BM1012" s="4"/>
      <c r="BN1012" s="4"/>
      <c r="BO1012" s="4"/>
      <c r="BP1012" s="4"/>
      <c r="BQ1012" s="4"/>
      <c r="BR1012" s="4"/>
      <c r="BS1012" s="4"/>
      <c r="BT1012" s="4"/>
      <c r="BU1012" s="4"/>
      <c r="BV1012" s="4"/>
    </row>
  </sheetData>
  <mergeCells count="1">
    <mergeCell ref="A1:Z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5:B5"/>
  <sheetViews>
    <sheetView workbookViewId="0">
      <selection activeCell="B5" sqref="B5"/>
    </sheetView>
  </sheetViews>
  <sheetFormatPr defaultColWidth="12.5546875" defaultRowHeight="15.75" customHeight="1"/>
  <cols>
    <col min="1" max="1" width="18" customWidth="1"/>
    <col min="2" max="2" width="77.21875" customWidth="1"/>
  </cols>
  <sheetData>
    <row r="5" spans="1:2" ht="15.75" customHeight="1">
      <c r="A5" s="31" t="s">
        <v>82</v>
      </c>
      <c r="B5" s="32" t="str">
        <f>HYPERLINK("https://www.figma.com/design/gKpliymRJQMDL8PaIweOUd/Украшения-2?node-id=0-1&amp;p=f")</f>
        <v>https://www.figma.com/design/gKpliymRJQMDL8PaIweOUd/Украшения-2?node-id=0-1&amp;p=f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R954"/>
  <sheetViews>
    <sheetView topLeftCell="A15" zoomScale="71" workbookViewId="0">
      <selection activeCell="I27" sqref="I27"/>
    </sheetView>
  </sheetViews>
  <sheetFormatPr defaultColWidth="12.6640625" defaultRowHeight="15.75" customHeight="1"/>
  <cols>
    <col min="1" max="1" width="40.77734375" customWidth="1"/>
    <col min="2" max="2" width="42.44140625" customWidth="1"/>
    <col min="3" max="3" width="40.77734375" customWidth="1"/>
    <col min="4" max="4" width="42.44140625" customWidth="1"/>
    <col min="5" max="5" width="40.77734375" customWidth="1"/>
    <col min="6" max="6" width="71.44140625" customWidth="1"/>
    <col min="7" max="7" width="24.77734375" customWidth="1"/>
    <col min="8" max="8" width="75.109375" customWidth="1"/>
    <col min="9" max="9" width="102" customWidth="1"/>
    <col min="10" max="10" width="15.109375" customWidth="1"/>
  </cols>
  <sheetData>
    <row r="1" spans="1:18" ht="21.6">
      <c r="A1" s="103" t="s">
        <v>83</v>
      </c>
      <c r="B1" s="104"/>
      <c r="C1" s="104"/>
      <c r="D1" s="104"/>
      <c r="E1" s="104"/>
      <c r="F1" s="105"/>
      <c r="G1" s="38"/>
      <c r="H1" s="102" t="s">
        <v>84</v>
      </c>
      <c r="I1" s="92"/>
    </row>
    <row r="2" spans="1:18" ht="23.25" customHeight="1">
      <c r="A2" s="106"/>
      <c r="B2" s="107"/>
      <c r="C2" s="107"/>
      <c r="D2" s="107"/>
      <c r="E2" s="107"/>
      <c r="F2" s="108"/>
      <c r="G2" s="39" t="s">
        <v>85</v>
      </c>
      <c r="H2" s="39" t="s">
        <v>86</v>
      </c>
      <c r="I2" s="39" t="s">
        <v>87</v>
      </c>
      <c r="J2" s="52"/>
      <c r="K2" s="52"/>
      <c r="L2" s="52"/>
      <c r="M2" s="53"/>
      <c r="N2" s="52"/>
      <c r="O2" s="52"/>
      <c r="P2" s="52"/>
      <c r="Q2" s="52"/>
    </row>
    <row r="3" spans="1:18" ht="92.4">
      <c r="A3" s="106"/>
      <c r="B3" s="107"/>
      <c r="C3" s="107"/>
      <c r="D3" s="107"/>
      <c r="E3" s="107"/>
      <c r="F3" s="108"/>
      <c r="G3" s="40" t="s">
        <v>88</v>
      </c>
      <c r="H3" s="41" t="s">
        <v>89</v>
      </c>
      <c r="I3" s="42" t="s">
        <v>90</v>
      </c>
      <c r="J3" s="54"/>
      <c r="K3" s="54"/>
      <c r="L3" s="54"/>
      <c r="M3" s="55"/>
      <c r="N3" s="54"/>
      <c r="O3" s="54"/>
      <c r="P3" s="54"/>
      <c r="Q3" s="54"/>
    </row>
    <row r="4" spans="1:18" ht="79.2">
      <c r="A4" s="106"/>
      <c r="B4" s="107"/>
      <c r="C4" s="107"/>
      <c r="D4" s="107"/>
      <c r="E4" s="107"/>
      <c r="F4" s="108"/>
      <c r="G4" s="40" t="s">
        <v>91</v>
      </c>
      <c r="H4" s="41" t="s">
        <v>92</v>
      </c>
      <c r="I4" s="42" t="s">
        <v>93</v>
      </c>
      <c r="J4" s="56"/>
      <c r="K4" s="56"/>
      <c r="L4" s="56"/>
      <c r="M4" s="56"/>
      <c r="N4" s="56"/>
      <c r="O4" s="56"/>
      <c r="P4" s="56"/>
      <c r="Q4" s="56"/>
    </row>
    <row r="5" spans="1:18" ht="52.8">
      <c r="A5" s="106"/>
      <c r="B5" s="107"/>
      <c r="C5" s="107"/>
      <c r="D5" s="107"/>
      <c r="E5" s="107"/>
      <c r="F5" s="108"/>
      <c r="G5" s="40" t="s">
        <v>94</v>
      </c>
      <c r="H5" s="41" t="s">
        <v>95</v>
      </c>
      <c r="I5" s="42" t="s">
        <v>96</v>
      </c>
      <c r="J5" s="57"/>
      <c r="K5" s="57"/>
      <c r="L5" s="57"/>
      <c r="M5" s="57"/>
      <c r="N5" s="57"/>
      <c r="O5" s="57"/>
      <c r="P5" s="57"/>
      <c r="Q5" s="57"/>
    </row>
    <row r="6" spans="1:18" ht="39.6">
      <c r="A6" s="109"/>
      <c r="B6" s="110"/>
      <c r="C6" s="110"/>
      <c r="D6" s="110"/>
      <c r="E6" s="110"/>
      <c r="F6" s="111"/>
      <c r="G6" s="40" t="s">
        <v>97</v>
      </c>
      <c r="H6" s="41" t="s">
        <v>98</v>
      </c>
      <c r="I6" s="42" t="s">
        <v>99</v>
      </c>
      <c r="J6" s="57"/>
      <c r="K6" s="57"/>
      <c r="L6" s="57"/>
      <c r="M6" s="57"/>
      <c r="N6" s="57"/>
      <c r="O6" s="57"/>
      <c r="P6" s="57"/>
      <c r="Q6" s="57"/>
    </row>
    <row r="7" spans="1:18" ht="22.8">
      <c r="A7" s="112" t="s">
        <v>192</v>
      </c>
      <c r="B7" s="113"/>
      <c r="C7" s="113"/>
      <c r="D7" s="113"/>
      <c r="E7" s="113"/>
      <c r="F7" s="114"/>
      <c r="G7" s="43"/>
      <c r="H7" s="38"/>
      <c r="I7" s="38"/>
      <c r="K7" s="57"/>
      <c r="L7" s="57"/>
      <c r="M7" s="57"/>
      <c r="N7" s="57"/>
      <c r="O7" s="57"/>
      <c r="P7" s="57"/>
      <c r="Q7" s="57"/>
      <c r="R7" s="57"/>
    </row>
    <row r="8" spans="1:18" ht="21.6">
      <c r="A8" s="115" t="s">
        <v>100</v>
      </c>
      <c r="B8" s="113"/>
      <c r="C8" s="113"/>
      <c r="D8" s="113"/>
      <c r="E8" s="113"/>
      <c r="F8" s="114"/>
      <c r="H8" s="102" t="s">
        <v>101</v>
      </c>
      <c r="I8" s="92"/>
      <c r="K8" s="57"/>
      <c r="L8" s="57"/>
      <c r="M8" s="57"/>
      <c r="N8" s="57"/>
      <c r="O8" s="57"/>
      <c r="P8" s="57"/>
      <c r="Q8" s="57"/>
      <c r="R8" s="57"/>
    </row>
    <row r="9" spans="1:18" ht="13.2">
      <c r="A9" s="96" t="s">
        <v>102</v>
      </c>
      <c r="B9" s="97"/>
      <c r="C9" s="96" t="s">
        <v>103</v>
      </c>
      <c r="D9" s="97"/>
      <c r="E9" s="96" t="s">
        <v>104</v>
      </c>
      <c r="F9" s="97"/>
      <c r="G9" s="39" t="s">
        <v>85</v>
      </c>
      <c r="H9" s="39" t="s">
        <v>86</v>
      </c>
      <c r="I9" s="39" t="s">
        <v>87</v>
      </c>
      <c r="K9" s="57"/>
      <c r="L9" s="57"/>
      <c r="M9" s="57"/>
      <c r="N9" s="57"/>
      <c r="O9" s="57"/>
      <c r="P9" s="57"/>
      <c r="Q9" s="57"/>
      <c r="R9" s="57"/>
    </row>
    <row r="10" spans="1:18" ht="92.4">
      <c r="A10" s="98"/>
      <c r="B10" s="99"/>
      <c r="C10" s="98"/>
      <c r="D10" s="99"/>
      <c r="E10" s="98"/>
      <c r="F10" s="99"/>
      <c r="G10" s="40" t="s">
        <v>88</v>
      </c>
      <c r="H10" s="41" t="s">
        <v>105</v>
      </c>
      <c r="I10" s="42" t="s">
        <v>106</v>
      </c>
      <c r="K10" s="57"/>
      <c r="L10" s="57"/>
      <c r="M10" s="57"/>
      <c r="N10" s="57"/>
      <c r="O10" s="57"/>
      <c r="P10" s="57"/>
      <c r="Q10" s="57"/>
      <c r="R10" s="57"/>
    </row>
    <row r="11" spans="1:18" ht="79.2">
      <c r="A11" s="98"/>
      <c r="B11" s="99"/>
      <c r="C11" s="98"/>
      <c r="D11" s="99"/>
      <c r="E11" s="98"/>
      <c r="F11" s="99"/>
      <c r="G11" s="40" t="s">
        <v>91</v>
      </c>
      <c r="H11" s="41" t="s">
        <v>107</v>
      </c>
      <c r="I11" s="42" t="s">
        <v>108</v>
      </c>
      <c r="K11" s="57"/>
      <c r="L11" s="57"/>
      <c r="M11" s="57"/>
      <c r="N11" s="57"/>
      <c r="O11" s="57"/>
      <c r="P11" s="57"/>
      <c r="Q11" s="57"/>
      <c r="R11" s="57"/>
    </row>
    <row r="12" spans="1:18" ht="66">
      <c r="A12" s="98"/>
      <c r="B12" s="99"/>
      <c r="C12" s="98"/>
      <c r="D12" s="99"/>
      <c r="E12" s="98"/>
      <c r="F12" s="99"/>
      <c r="G12" s="40" t="s">
        <v>94</v>
      </c>
      <c r="H12" s="41" t="s">
        <v>109</v>
      </c>
      <c r="I12" s="42" t="s">
        <v>110</v>
      </c>
      <c r="K12" s="57"/>
      <c r="L12" s="57"/>
      <c r="M12" s="57"/>
      <c r="N12" s="57"/>
      <c r="O12" s="57"/>
      <c r="P12" s="57"/>
      <c r="Q12" s="57"/>
      <c r="R12" s="57"/>
    </row>
    <row r="13" spans="1:18" ht="52.8">
      <c r="A13" s="98"/>
      <c r="B13" s="99"/>
      <c r="C13" s="98"/>
      <c r="D13" s="99"/>
      <c r="E13" s="98"/>
      <c r="F13" s="99"/>
      <c r="G13" s="40" t="s">
        <v>97</v>
      </c>
      <c r="H13" s="41" t="s">
        <v>111</v>
      </c>
      <c r="I13" s="42" t="s">
        <v>112</v>
      </c>
      <c r="K13" s="57"/>
      <c r="L13" s="57"/>
      <c r="M13" s="57"/>
      <c r="N13" s="57"/>
      <c r="O13" s="57"/>
      <c r="P13" s="57"/>
      <c r="Q13" s="57"/>
      <c r="R13" s="57"/>
    </row>
    <row r="14" spans="1:18" ht="13.2">
      <c r="A14" s="98"/>
      <c r="B14" s="99"/>
      <c r="C14" s="98"/>
      <c r="D14" s="99"/>
      <c r="E14" s="98"/>
      <c r="F14" s="99"/>
      <c r="H14" s="38"/>
      <c r="I14" s="44"/>
      <c r="K14" s="57"/>
      <c r="L14" s="57"/>
      <c r="M14" s="57"/>
      <c r="N14" s="57"/>
      <c r="O14" s="57"/>
      <c r="P14" s="57"/>
      <c r="Q14" s="57"/>
      <c r="R14" s="57"/>
    </row>
    <row r="15" spans="1:18" ht="21.6">
      <c r="A15" s="98"/>
      <c r="B15" s="99"/>
      <c r="C15" s="98"/>
      <c r="D15" s="99"/>
      <c r="E15" s="98"/>
      <c r="F15" s="99"/>
      <c r="H15" s="102" t="s">
        <v>113</v>
      </c>
      <c r="I15" s="92"/>
      <c r="K15" s="57"/>
      <c r="L15" s="57"/>
      <c r="M15" s="57"/>
      <c r="N15" s="57"/>
      <c r="O15" s="57"/>
      <c r="P15" s="57"/>
      <c r="Q15" s="57"/>
      <c r="R15" s="57"/>
    </row>
    <row r="16" spans="1:18" ht="13.2">
      <c r="A16" s="98"/>
      <c r="B16" s="99"/>
      <c r="C16" s="98"/>
      <c r="D16" s="99"/>
      <c r="E16" s="98"/>
      <c r="F16" s="99"/>
      <c r="G16" s="39" t="s">
        <v>85</v>
      </c>
      <c r="H16" s="39" t="s">
        <v>86</v>
      </c>
      <c r="I16" s="39" t="s">
        <v>87</v>
      </c>
      <c r="K16" s="57"/>
      <c r="L16" s="57"/>
      <c r="M16" s="57"/>
      <c r="N16" s="57"/>
      <c r="O16" s="57"/>
      <c r="P16" s="57"/>
      <c r="Q16" s="57"/>
      <c r="R16" s="57"/>
    </row>
    <row r="17" spans="1:18" ht="79.2">
      <c r="A17" s="98"/>
      <c r="B17" s="99"/>
      <c r="C17" s="98"/>
      <c r="D17" s="99"/>
      <c r="E17" s="98"/>
      <c r="F17" s="99"/>
      <c r="G17" s="40" t="s">
        <v>88</v>
      </c>
      <c r="H17" s="41" t="s">
        <v>114</v>
      </c>
      <c r="I17" s="42" t="s">
        <v>115</v>
      </c>
      <c r="K17" s="57"/>
      <c r="L17" s="57"/>
      <c r="M17" s="57"/>
      <c r="N17" s="57"/>
      <c r="O17" s="57"/>
      <c r="P17" s="57"/>
      <c r="Q17" s="57"/>
      <c r="R17" s="57"/>
    </row>
    <row r="18" spans="1:18" ht="52.8">
      <c r="A18" s="98"/>
      <c r="B18" s="99"/>
      <c r="C18" s="98"/>
      <c r="D18" s="99"/>
      <c r="E18" s="98"/>
      <c r="F18" s="99"/>
      <c r="G18" s="40" t="s">
        <v>91</v>
      </c>
      <c r="H18" s="41" t="s">
        <v>116</v>
      </c>
      <c r="I18" s="42" t="s">
        <v>117</v>
      </c>
      <c r="K18" s="57"/>
      <c r="L18" s="57"/>
      <c r="M18" s="57"/>
      <c r="N18" s="57"/>
      <c r="O18" s="57"/>
      <c r="P18" s="57"/>
      <c r="Q18" s="57"/>
      <c r="R18" s="57"/>
    </row>
    <row r="19" spans="1:18" ht="52.8">
      <c r="A19" s="98"/>
      <c r="B19" s="99"/>
      <c r="C19" s="98"/>
      <c r="D19" s="99"/>
      <c r="E19" s="98"/>
      <c r="F19" s="99"/>
      <c r="G19" s="40" t="s">
        <v>94</v>
      </c>
      <c r="H19" s="41" t="s">
        <v>118</v>
      </c>
      <c r="I19" s="42" t="s">
        <v>119</v>
      </c>
      <c r="K19" s="57"/>
      <c r="L19" s="57"/>
      <c r="M19" s="57"/>
      <c r="N19" s="57"/>
      <c r="O19" s="57"/>
      <c r="P19" s="57"/>
      <c r="Q19" s="57"/>
      <c r="R19" s="57"/>
    </row>
    <row r="20" spans="1:18" ht="79.2">
      <c r="A20" s="100"/>
      <c r="B20" s="101"/>
      <c r="C20" s="100"/>
      <c r="D20" s="101"/>
      <c r="E20" s="100"/>
      <c r="F20" s="101"/>
      <c r="G20" s="40" t="s">
        <v>97</v>
      </c>
      <c r="H20" s="41" t="s">
        <v>120</v>
      </c>
      <c r="I20" s="42" t="s">
        <v>121</v>
      </c>
      <c r="K20" s="57"/>
      <c r="L20" s="57"/>
      <c r="M20" s="57"/>
      <c r="N20" s="57"/>
      <c r="O20" s="57"/>
      <c r="P20" s="57"/>
      <c r="Q20" s="57"/>
      <c r="R20" s="57"/>
    </row>
    <row r="21" spans="1:18" ht="13.2">
      <c r="G21" s="38"/>
      <c r="H21" s="38"/>
      <c r="I21" s="38"/>
    </row>
    <row r="22" spans="1:18" ht="13.2">
      <c r="A22" s="39" t="s">
        <v>122</v>
      </c>
      <c r="B22" s="45" t="s">
        <v>123</v>
      </c>
      <c r="C22" s="39" t="s">
        <v>124</v>
      </c>
      <c r="D22" s="39" t="s">
        <v>125</v>
      </c>
      <c r="E22" s="39" t="s">
        <v>126</v>
      </c>
      <c r="F22" s="39" t="s">
        <v>87</v>
      </c>
      <c r="G22" s="38"/>
      <c r="H22" s="38"/>
      <c r="I22" s="38"/>
    </row>
    <row r="23" spans="1:18" ht="125.4" customHeight="1">
      <c r="A23" s="46" t="s">
        <v>127</v>
      </c>
      <c r="B23" s="47" t="s">
        <v>128</v>
      </c>
      <c r="C23" s="47" t="s">
        <v>129</v>
      </c>
      <c r="D23" s="47" t="s">
        <v>130</v>
      </c>
      <c r="E23" s="47" t="s">
        <v>131</v>
      </c>
      <c r="F23" s="47" t="s">
        <v>132</v>
      </c>
      <c r="G23" s="38"/>
      <c r="H23" s="38"/>
      <c r="I23" s="38"/>
    </row>
    <row r="24" spans="1:18" ht="111" customHeight="1">
      <c r="A24" s="46" t="s">
        <v>133</v>
      </c>
      <c r="B24" s="47" t="s">
        <v>134</v>
      </c>
      <c r="C24" s="47" t="s">
        <v>135</v>
      </c>
      <c r="D24" s="47" t="s">
        <v>136</v>
      </c>
      <c r="E24" s="47" t="s">
        <v>137</v>
      </c>
      <c r="F24" s="47" t="s">
        <v>138</v>
      </c>
      <c r="G24" s="38"/>
      <c r="H24" s="38"/>
      <c r="I24" s="38"/>
    </row>
    <row r="25" spans="1:18" ht="120" customHeight="1">
      <c r="A25" s="46" t="s">
        <v>139</v>
      </c>
      <c r="B25" s="47" t="s">
        <v>140</v>
      </c>
      <c r="C25" s="47" t="s">
        <v>141</v>
      </c>
      <c r="D25" s="47" t="s">
        <v>142</v>
      </c>
      <c r="E25" s="47" t="s">
        <v>143</v>
      </c>
      <c r="F25" s="47" t="s">
        <v>144</v>
      </c>
      <c r="G25" s="38"/>
      <c r="H25" s="38"/>
      <c r="I25" s="38"/>
    </row>
    <row r="26" spans="1:18" ht="108.6" customHeight="1">
      <c r="A26" s="46" t="s">
        <v>145</v>
      </c>
      <c r="B26" s="47" t="s">
        <v>146</v>
      </c>
      <c r="C26" s="47" t="s">
        <v>147</v>
      </c>
      <c r="D26" s="47" t="s">
        <v>148</v>
      </c>
      <c r="E26" s="47" t="s">
        <v>149</v>
      </c>
      <c r="F26" s="47" t="s">
        <v>150</v>
      </c>
      <c r="G26" s="38"/>
      <c r="H26" s="38"/>
      <c r="I26" s="38"/>
    </row>
    <row r="27" spans="1:18" ht="109.2" customHeight="1">
      <c r="A27" s="46" t="s">
        <v>151</v>
      </c>
      <c r="B27" s="47" t="s">
        <v>152</v>
      </c>
      <c r="C27" s="47" t="s">
        <v>153</v>
      </c>
      <c r="D27" s="47" t="s">
        <v>154</v>
      </c>
      <c r="E27" s="47" t="s">
        <v>155</v>
      </c>
      <c r="F27" s="47" t="s">
        <v>156</v>
      </c>
      <c r="G27" s="38"/>
      <c r="H27" s="38"/>
      <c r="I27" s="38"/>
    </row>
    <row r="28" spans="1:18" ht="123" customHeight="1">
      <c r="A28" s="46" t="s">
        <v>157</v>
      </c>
      <c r="B28" s="47" t="s">
        <v>158</v>
      </c>
      <c r="C28" s="47" t="s">
        <v>159</v>
      </c>
      <c r="D28" s="47" t="s">
        <v>160</v>
      </c>
      <c r="E28" s="47" t="s">
        <v>161</v>
      </c>
      <c r="F28" s="47" t="s">
        <v>162</v>
      </c>
      <c r="G28" s="38"/>
      <c r="H28" s="38"/>
      <c r="I28" s="38"/>
    </row>
    <row r="29" spans="1:18" ht="114.6" customHeight="1">
      <c r="A29" s="46" t="s">
        <v>163</v>
      </c>
      <c r="B29" s="47" t="s">
        <v>164</v>
      </c>
      <c r="C29" s="47" t="s">
        <v>165</v>
      </c>
      <c r="D29" s="47" t="s">
        <v>166</v>
      </c>
      <c r="E29" s="47" t="s">
        <v>167</v>
      </c>
      <c r="F29" s="47" t="s">
        <v>168</v>
      </c>
      <c r="G29" s="38"/>
      <c r="H29" s="38"/>
      <c r="I29" s="38"/>
    </row>
    <row r="30" spans="1:18" ht="13.2">
      <c r="G30" s="38"/>
      <c r="H30" s="38"/>
      <c r="I30" s="38"/>
    </row>
    <row r="31" spans="1:18" ht="13.2">
      <c r="G31" s="38"/>
      <c r="H31" s="38"/>
      <c r="I31" s="38"/>
    </row>
    <row r="32" spans="1:18" ht="13.2">
      <c r="A32" s="48" t="s">
        <v>122</v>
      </c>
      <c r="B32" s="49" t="s">
        <v>123</v>
      </c>
      <c r="C32" s="38"/>
      <c r="G32" s="38"/>
      <c r="H32" s="38"/>
      <c r="I32" s="38"/>
    </row>
    <row r="33" spans="1:9" ht="66">
      <c r="A33" s="46" t="s">
        <v>169</v>
      </c>
      <c r="B33" s="50" t="s">
        <v>170</v>
      </c>
      <c r="C33" s="51"/>
      <c r="G33" s="38"/>
      <c r="H33" s="38"/>
      <c r="I33" s="38"/>
    </row>
    <row r="34" spans="1:9" ht="66">
      <c r="A34" s="46" t="s">
        <v>171</v>
      </c>
      <c r="B34" s="50" t="s">
        <v>172</v>
      </c>
      <c r="C34" s="51"/>
      <c r="G34" s="38"/>
      <c r="H34" s="38"/>
      <c r="I34" s="38"/>
    </row>
    <row r="35" spans="1:9" ht="52.8">
      <c r="A35" s="46" t="s">
        <v>173</v>
      </c>
      <c r="B35" s="50" t="s">
        <v>174</v>
      </c>
      <c r="C35" s="51"/>
      <c r="G35" s="38"/>
      <c r="H35" s="38"/>
      <c r="I35" s="38"/>
    </row>
    <row r="36" spans="1:9" ht="52.8">
      <c r="A36" s="46" t="s">
        <v>175</v>
      </c>
      <c r="B36" s="50" t="s">
        <v>176</v>
      </c>
      <c r="C36" s="51"/>
      <c r="G36" s="38"/>
      <c r="H36" s="38"/>
      <c r="I36" s="38"/>
    </row>
    <row r="37" spans="1:9" ht="52.8">
      <c r="A37" s="46" t="s">
        <v>177</v>
      </c>
      <c r="B37" s="50" t="s">
        <v>178</v>
      </c>
      <c r="C37" s="51"/>
      <c r="G37" s="38"/>
      <c r="H37" s="38"/>
      <c r="I37" s="38"/>
    </row>
    <row r="38" spans="1:9" ht="52.8">
      <c r="A38" s="46" t="s">
        <v>179</v>
      </c>
      <c r="B38" s="50" t="s">
        <v>180</v>
      </c>
      <c r="C38" s="51"/>
      <c r="G38" s="38"/>
      <c r="H38" s="38"/>
      <c r="I38" s="38"/>
    </row>
    <row r="39" spans="1:9" ht="52.8">
      <c r="A39" s="46" t="s">
        <v>181</v>
      </c>
      <c r="B39" s="50" t="s">
        <v>182</v>
      </c>
      <c r="C39" s="51"/>
      <c r="G39" s="38"/>
      <c r="H39" s="38"/>
      <c r="I39" s="38"/>
    </row>
    <row r="40" spans="1:9" ht="13.2">
      <c r="G40" s="38"/>
      <c r="H40" s="38"/>
      <c r="I40" s="38"/>
    </row>
    <row r="41" spans="1:9" ht="54" customHeight="1">
      <c r="A41" s="117" t="s">
        <v>183</v>
      </c>
      <c r="B41" s="107"/>
      <c r="C41" s="58"/>
      <c r="G41" s="38"/>
      <c r="H41" s="38"/>
      <c r="I41" s="38"/>
    </row>
    <row r="42" spans="1:9" ht="37.200000000000003" customHeight="1">
      <c r="A42" s="116" t="s">
        <v>184</v>
      </c>
      <c r="B42" s="107"/>
      <c r="C42" s="58"/>
      <c r="G42" s="38"/>
      <c r="H42" s="38"/>
      <c r="I42" s="38"/>
    </row>
    <row r="43" spans="1:9" ht="39" customHeight="1">
      <c r="A43" s="116" t="s">
        <v>185</v>
      </c>
      <c r="B43" s="107"/>
      <c r="C43" s="58"/>
      <c r="G43" s="38"/>
      <c r="H43" s="38"/>
      <c r="I43" s="38"/>
    </row>
    <row r="44" spans="1:9" ht="49.2" customHeight="1">
      <c r="A44" s="116" t="s">
        <v>186</v>
      </c>
      <c r="B44" s="107"/>
      <c r="C44" s="58"/>
      <c r="G44" s="38"/>
      <c r="H44" s="38"/>
      <c r="I44" s="38"/>
    </row>
    <row r="45" spans="1:9" ht="51" customHeight="1">
      <c r="A45" s="116" t="s">
        <v>187</v>
      </c>
      <c r="B45" s="107"/>
      <c r="C45" s="58"/>
      <c r="G45" s="38"/>
      <c r="H45" s="38"/>
      <c r="I45" s="38"/>
    </row>
    <row r="46" spans="1:9" ht="39.6" customHeight="1">
      <c r="A46" s="116" t="s">
        <v>188</v>
      </c>
      <c r="B46" s="107"/>
      <c r="C46" s="58"/>
      <c r="G46" s="38"/>
      <c r="H46" s="38"/>
      <c r="I46" s="38"/>
    </row>
    <row r="47" spans="1:9" ht="35.4" customHeight="1">
      <c r="A47" s="116" t="s">
        <v>189</v>
      </c>
      <c r="B47" s="107"/>
      <c r="C47" s="58"/>
      <c r="G47" s="38"/>
      <c r="H47" s="38"/>
      <c r="I47" s="38"/>
    </row>
    <row r="48" spans="1:9" ht="57" customHeight="1">
      <c r="A48" s="116" t="s">
        <v>190</v>
      </c>
      <c r="B48" s="107"/>
      <c r="C48" s="58"/>
      <c r="G48" s="38"/>
      <c r="H48" s="38"/>
      <c r="I48" s="38"/>
    </row>
    <row r="49" spans="1:9" ht="39.6" customHeight="1">
      <c r="A49" s="116" t="s">
        <v>191</v>
      </c>
      <c r="B49" s="107"/>
      <c r="C49" s="58"/>
      <c r="G49" s="38"/>
      <c r="H49" s="38"/>
      <c r="I49" s="38"/>
    </row>
    <row r="50" spans="1:9" ht="13.2">
      <c r="G50" s="38"/>
      <c r="H50" s="38"/>
      <c r="I50" s="38"/>
    </row>
    <row r="51" spans="1:9" ht="13.2">
      <c r="G51" s="38"/>
      <c r="H51" s="38"/>
      <c r="I51" s="38"/>
    </row>
    <row r="52" spans="1:9" ht="13.2">
      <c r="G52" s="38"/>
      <c r="H52" s="38"/>
      <c r="I52" s="38"/>
    </row>
    <row r="53" spans="1:9" ht="13.2">
      <c r="G53" s="38"/>
      <c r="H53" s="38"/>
      <c r="I53" s="38"/>
    </row>
    <row r="54" spans="1:9" ht="13.2">
      <c r="G54" s="38"/>
      <c r="H54" s="38"/>
      <c r="I54" s="38"/>
    </row>
    <row r="55" spans="1:9" ht="13.2">
      <c r="G55" s="38"/>
      <c r="H55" s="38"/>
      <c r="I55" s="38"/>
    </row>
    <row r="56" spans="1:9" ht="13.2">
      <c r="G56" s="38"/>
      <c r="H56" s="38"/>
      <c r="I56" s="38"/>
    </row>
    <row r="57" spans="1:9" ht="13.2">
      <c r="G57" s="38"/>
      <c r="H57" s="38"/>
      <c r="I57" s="38"/>
    </row>
    <row r="58" spans="1:9" ht="13.2">
      <c r="G58" s="38"/>
      <c r="H58" s="38"/>
      <c r="I58" s="38"/>
    </row>
    <row r="59" spans="1:9" ht="13.2">
      <c r="G59" s="38"/>
      <c r="H59" s="38"/>
      <c r="I59" s="38"/>
    </row>
    <row r="60" spans="1:9" ht="13.2">
      <c r="G60" s="38"/>
      <c r="H60" s="38"/>
      <c r="I60" s="38"/>
    </row>
    <row r="61" spans="1:9" ht="13.2">
      <c r="G61" s="38"/>
      <c r="H61" s="38"/>
      <c r="I61" s="38"/>
    </row>
    <row r="62" spans="1:9" ht="13.2">
      <c r="G62" s="38"/>
      <c r="H62" s="38"/>
      <c r="I62" s="38"/>
    </row>
    <row r="63" spans="1:9" ht="13.2">
      <c r="G63" s="38"/>
      <c r="H63" s="38"/>
      <c r="I63" s="38"/>
    </row>
    <row r="64" spans="1:9" ht="13.2">
      <c r="G64" s="38"/>
      <c r="H64" s="38"/>
      <c r="I64" s="38"/>
    </row>
    <row r="65" spans="7:9" ht="13.2">
      <c r="G65" s="38"/>
      <c r="H65" s="38"/>
      <c r="I65" s="38"/>
    </row>
    <row r="66" spans="7:9" ht="13.2">
      <c r="G66" s="38"/>
      <c r="H66" s="38"/>
      <c r="I66" s="38"/>
    </row>
    <row r="67" spans="7:9" ht="13.2">
      <c r="G67" s="38"/>
      <c r="H67" s="38"/>
      <c r="I67" s="38"/>
    </row>
    <row r="68" spans="7:9" ht="13.2">
      <c r="G68" s="38"/>
      <c r="H68" s="38"/>
      <c r="I68" s="38"/>
    </row>
    <row r="69" spans="7:9" ht="13.2">
      <c r="G69" s="38"/>
      <c r="H69" s="38"/>
      <c r="I69" s="38"/>
    </row>
    <row r="70" spans="7:9" ht="13.2">
      <c r="G70" s="38"/>
      <c r="H70" s="38"/>
      <c r="I70" s="38"/>
    </row>
    <row r="71" spans="7:9" ht="13.2">
      <c r="G71" s="38"/>
      <c r="H71" s="38"/>
      <c r="I71" s="38"/>
    </row>
    <row r="72" spans="7:9" ht="13.2">
      <c r="G72" s="38"/>
      <c r="H72" s="38"/>
      <c r="I72" s="38"/>
    </row>
    <row r="73" spans="7:9" ht="13.2">
      <c r="G73" s="38"/>
      <c r="H73" s="38"/>
      <c r="I73" s="38"/>
    </row>
    <row r="74" spans="7:9" ht="13.2">
      <c r="G74" s="38"/>
      <c r="H74" s="38"/>
      <c r="I74" s="38"/>
    </row>
    <row r="75" spans="7:9" ht="13.2">
      <c r="G75" s="38"/>
      <c r="H75" s="38"/>
      <c r="I75" s="38"/>
    </row>
    <row r="76" spans="7:9" ht="13.2">
      <c r="G76" s="38"/>
      <c r="H76" s="38"/>
      <c r="I76" s="38"/>
    </row>
    <row r="77" spans="7:9" ht="13.2">
      <c r="G77" s="38"/>
      <c r="H77" s="38"/>
      <c r="I77" s="38"/>
    </row>
    <row r="78" spans="7:9" ht="13.2">
      <c r="G78" s="38"/>
      <c r="H78" s="38"/>
      <c r="I78" s="38"/>
    </row>
    <row r="79" spans="7:9" ht="13.2">
      <c r="G79" s="38"/>
      <c r="H79" s="38"/>
      <c r="I79" s="38"/>
    </row>
    <row r="80" spans="7:9" ht="13.2">
      <c r="G80" s="38"/>
      <c r="H80" s="38"/>
      <c r="I80" s="38"/>
    </row>
    <row r="81" spans="7:9" ht="13.2">
      <c r="G81" s="38"/>
      <c r="H81" s="38"/>
      <c r="I81" s="38"/>
    </row>
    <row r="82" spans="7:9" ht="13.2">
      <c r="G82" s="38"/>
      <c r="H82" s="38"/>
      <c r="I82" s="38"/>
    </row>
    <row r="83" spans="7:9" ht="13.2">
      <c r="G83" s="38"/>
      <c r="H83" s="38"/>
      <c r="I83" s="38"/>
    </row>
    <row r="84" spans="7:9" ht="13.2">
      <c r="G84" s="38"/>
      <c r="H84" s="38"/>
      <c r="I84" s="38"/>
    </row>
    <row r="85" spans="7:9" ht="13.2">
      <c r="G85" s="38"/>
      <c r="H85" s="38"/>
      <c r="I85" s="38"/>
    </row>
    <row r="86" spans="7:9" ht="13.2">
      <c r="G86" s="38"/>
      <c r="H86" s="38"/>
      <c r="I86" s="38"/>
    </row>
    <row r="87" spans="7:9" ht="13.2">
      <c r="G87" s="38"/>
      <c r="H87" s="38"/>
      <c r="I87" s="38"/>
    </row>
    <row r="88" spans="7:9" ht="13.2">
      <c r="G88" s="38"/>
      <c r="H88" s="38"/>
      <c r="I88" s="38"/>
    </row>
    <row r="89" spans="7:9" ht="13.2">
      <c r="G89" s="38"/>
      <c r="H89" s="38"/>
      <c r="I89" s="38"/>
    </row>
    <row r="90" spans="7:9" ht="13.2">
      <c r="G90" s="38"/>
      <c r="H90" s="38"/>
      <c r="I90" s="38"/>
    </row>
    <row r="91" spans="7:9" ht="13.2">
      <c r="G91" s="38"/>
      <c r="H91" s="38"/>
      <c r="I91" s="38"/>
    </row>
    <row r="92" spans="7:9" ht="13.2">
      <c r="G92" s="38"/>
      <c r="H92" s="38"/>
      <c r="I92" s="38"/>
    </row>
    <row r="93" spans="7:9" ht="13.2">
      <c r="G93" s="38"/>
      <c r="H93" s="38"/>
      <c r="I93" s="38"/>
    </row>
    <row r="94" spans="7:9" ht="13.2">
      <c r="G94" s="38"/>
      <c r="H94" s="38"/>
      <c r="I94" s="38"/>
    </row>
    <row r="95" spans="7:9" ht="13.2">
      <c r="G95" s="38"/>
      <c r="H95" s="38"/>
      <c r="I95" s="38"/>
    </row>
    <row r="96" spans="7:9" ht="13.2">
      <c r="G96" s="38"/>
      <c r="H96" s="38"/>
      <c r="I96" s="38"/>
    </row>
    <row r="97" spans="7:9" ht="13.2">
      <c r="G97" s="38"/>
      <c r="H97" s="38"/>
      <c r="I97" s="38"/>
    </row>
    <row r="98" spans="7:9" ht="13.2">
      <c r="G98" s="38"/>
      <c r="H98" s="38"/>
      <c r="I98" s="38"/>
    </row>
    <row r="99" spans="7:9" ht="13.2">
      <c r="G99" s="38"/>
      <c r="H99" s="38"/>
      <c r="I99" s="38"/>
    </row>
    <row r="100" spans="7:9" ht="13.2">
      <c r="G100" s="38"/>
      <c r="H100" s="38"/>
      <c r="I100" s="38"/>
    </row>
    <row r="101" spans="7:9" ht="13.2">
      <c r="G101" s="38"/>
      <c r="H101" s="38"/>
      <c r="I101" s="38"/>
    </row>
    <row r="102" spans="7:9" ht="13.2">
      <c r="G102" s="38"/>
      <c r="H102" s="38"/>
      <c r="I102" s="38"/>
    </row>
    <row r="103" spans="7:9" ht="13.2">
      <c r="G103" s="38"/>
      <c r="H103" s="38"/>
      <c r="I103" s="38"/>
    </row>
    <row r="104" spans="7:9" ht="13.2">
      <c r="G104" s="38"/>
      <c r="H104" s="38"/>
      <c r="I104" s="38"/>
    </row>
    <row r="105" spans="7:9" ht="13.2">
      <c r="G105" s="38"/>
      <c r="H105" s="38"/>
      <c r="I105" s="38"/>
    </row>
    <row r="106" spans="7:9" ht="13.2">
      <c r="G106" s="38"/>
      <c r="H106" s="38"/>
      <c r="I106" s="38"/>
    </row>
    <row r="107" spans="7:9" ht="13.2">
      <c r="G107" s="38"/>
      <c r="H107" s="38"/>
      <c r="I107" s="38"/>
    </row>
    <row r="108" spans="7:9" ht="13.2">
      <c r="G108" s="38"/>
      <c r="H108" s="38"/>
      <c r="I108" s="38"/>
    </row>
    <row r="109" spans="7:9" ht="13.2">
      <c r="G109" s="38"/>
      <c r="H109" s="38"/>
      <c r="I109" s="38"/>
    </row>
    <row r="110" spans="7:9" ht="13.2">
      <c r="G110" s="38"/>
      <c r="H110" s="38"/>
      <c r="I110" s="38"/>
    </row>
    <row r="111" spans="7:9" ht="13.2">
      <c r="G111" s="38"/>
      <c r="H111" s="38"/>
      <c r="I111" s="38"/>
    </row>
    <row r="112" spans="7:9" ht="13.2">
      <c r="G112" s="38"/>
      <c r="H112" s="38"/>
      <c r="I112" s="38"/>
    </row>
    <row r="113" spans="7:9" ht="13.2">
      <c r="G113" s="38"/>
      <c r="H113" s="38"/>
      <c r="I113" s="38"/>
    </row>
    <row r="114" spans="7:9" ht="13.2">
      <c r="G114" s="38"/>
      <c r="H114" s="38"/>
      <c r="I114" s="38"/>
    </row>
    <row r="115" spans="7:9" ht="13.2">
      <c r="G115" s="38"/>
      <c r="H115" s="38"/>
      <c r="I115" s="38"/>
    </row>
    <row r="116" spans="7:9" ht="13.2">
      <c r="G116" s="38"/>
      <c r="H116" s="38"/>
      <c r="I116" s="38"/>
    </row>
    <row r="117" spans="7:9" ht="13.2">
      <c r="G117" s="38"/>
      <c r="H117" s="38"/>
      <c r="I117" s="38"/>
    </row>
    <row r="118" spans="7:9" ht="13.2">
      <c r="G118" s="38"/>
      <c r="H118" s="38"/>
      <c r="I118" s="38"/>
    </row>
    <row r="119" spans="7:9" ht="13.2">
      <c r="G119" s="38"/>
      <c r="H119" s="38"/>
      <c r="I119" s="38"/>
    </row>
    <row r="120" spans="7:9" ht="13.2">
      <c r="G120" s="38"/>
      <c r="H120" s="38"/>
      <c r="I120" s="38"/>
    </row>
    <row r="121" spans="7:9" ht="13.2">
      <c r="G121" s="38"/>
      <c r="H121" s="38"/>
      <c r="I121" s="38"/>
    </row>
    <row r="122" spans="7:9" ht="13.2">
      <c r="G122" s="38"/>
      <c r="H122" s="38"/>
      <c r="I122" s="38"/>
    </row>
    <row r="123" spans="7:9" ht="13.2">
      <c r="G123" s="38"/>
      <c r="H123" s="38"/>
      <c r="I123" s="38"/>
    </row>
    <row r="124" spans="7:9" ht="13.2">
      <c r="G124" s="38"/>
      <c r="H124" s="38"/>
      <c r="I124" s="38"/>
    </row>
    <row r="125" spans="7:9" ht="13.2">
      <c r="G125" s="38"/>
      <c r="H125" s="38"/>
      <c r="I125" s="38"/>
    </row>
    <row r="126" spans="7:9" ht="13.2">
      <c r="G126" s="38"/>
      <c r="H126" s="38"/>
      <c r="I126" s="38"/>
    </row>
    <row r="127" spans="7:9" ht="13.2">
      <c r="G127" s="38"/>
      <c r="H127" s="38"/>
      <c r="I127" s="38"/>
    </row>
    <row r="128" spans="7:9" ht="13.2">
      <c r="G128" s="38"/>
      <c r="H128" s="38"/>
      <c r="I128" s="38"/>
    </row>
    <row r="129" spans="7:9" ht="13.2">
      <c r="G129" s="38"/>
      <c r="H129" s="38"/>
      <c r="I129" s="38"/>
    </row>
    <row r="130" spans="7:9" ht="13.2">
      <c r="G130" s="38"/>
      <c r="H130" s="38"/>
      <c r="I130" s="38"/>
    </row>
    <row r="131" spans="7:9" ht="13.2">
      <c r="G131" s="38"/>
      <c r="H131" s="38"/>
      <c r="I131" s="38"/>
    </row>
    <row r="132" spans="7:9" ht="13.2">
      <c r="G132" s="38"/>
      <c r="H132" s="38"/>
      <c r="I132" s="38"/>
    </row>
    <row r="133" spans="7:9" ht="13.2">
      <c r="G133" s="38"/>
      <c r="H133" s="38"/>
      <c r="I133" s="38"/>
    </row>
    <row r="134" spans="7:9" ht="13.2">
      <c r="G134" s="38"/>
      <c r="H134" s="38"/>
      <c r="I134" s="38"/>
    </row>
    <row r="135" spans="7:9" ht="13.2">
      <c r="G135" s="38"/>
      <c r="H135" s="38"/>
      <c r="I135" s="38"/>
    </row>
    <row r="136" spans="7:9" ht="13.2">
      <c r="G136" s="38"/>
      <c r="H136" s="38"/>
      <c r="I136" s="38"/>
    </row>
    <row r="137" spans="7:9" ht="13.2">
      <c r="G137" s="38"/>
      <c r="H137" s="38"/>
      <c r="I137" s="38"/>
    </row>
    <row r="138" spans="7:9" ht="13.2">
      <c r="G138" s="38"/>
      <c r="H138" s="38"/>
      <c r="I138" s="38"/>
    </row>
    <row r="139" spans="7:9" ht="13.2">
      <c r="G139" s="38"/>
      <c r="H139" s="38"/>
      <c r="I139" s="38"/>
    </row>
    <row r="140" spans="7:9" ht="13.2">
      <c r="G140" s="38"/>
      <c r="H140" s="38"/>
      <c r="I140" s="38"/>
    </row>
    <row r="141" spans="7:9" ht="13.2">
      <c r="G141" s="38"/>
      <c r="H141" s="38"/>
      <c r="I141" s="38"/>
    </row>
    <row r="142" spans="7:9" ht="13.2">
      <c r="G142" s="38"/>
      <c r="H142" s="38"/>
      <c r="I142" s="38"/>
    </row>
    <row r="143" spans="7:9" ht="13.2">
      <c r="G143" s="38"/>
      <c r="H143" s="38"/>
      <c r="I143" s="38"/>
    </row>
    <row r="144" spans="7:9" ht="13.2">
      <c r="G144" s="38"/>
      <c r="H144" s="38"/>
      <c r="I144" s="38"/>
    </row>
    <row r="145" spans="7:9" ht="13.2">
      <c r="G145" s="38"/>
      <c r="H145" s="38"/>
      <c r="I145" s="38"/>
    </row>
    <row r="146" spans="7:9" ht="13.2">
      <c r="G146" s="38"/>
      <c r="H146" s="38"/>
      <c r="I146" s="38"/>
    </row>
    <row r="147" spans="7:9" ht="13.2">
      <c r="G147" s="38"/>
      <c r="H147" s="38"/>
      <c r="I147" s="38"/>
    </row>
    <row r="148" spans="7:9" ht="13.2">
      <c r="G148" s="38"/>
      <c r="H148" s="38"/>
      <c r="I148" s="38"/>
    </row>
    <row r="149" spans="7:9" ht="13.2">
      <c r="G149" s="38"/>
      <c r="H149" s="38"/>
      <c r="I149" s="38"/>
    </row>
    <row r="150" spans="7:9" ht="13.2">
      <c r="G150" s="38"/>
      <c r="H150" s="38"/>
      <c r="I150" s="38"/>
    </row>
    <row r="151" spans="7:9" ht="13.2">
      <c r="G151" s="38"/>
      <c r="H151" s="38"/>
      <c r="I151" s="38"/>
    </row>
    <row r="152" spans="7:9" ht="13.2">
      <c r="G152" s="38"/>
      <c r="H152" s="38"/>
      <c r="I152" s="38"/>
    </row>
    <row r="153" spans="7:9" ht="13.2">
      <c r="G153" s="38"/>
      <c r="H153" s="38"/>
      <c r="I153" s="38"/>
    </row>
    <row r="154" spans="7:9" ht="13.2">
      <c r="G154" s="38"/>
      <c r="H154" s="38"/>
      <c r="I154" s="38"/>
    </row>
    <row r="155" spans="7:9" ht="13.2">
      <c r="G155" s="38"/>
      <c r="H155" s="38"/>
      <c r="I155" s="38"/>
    </row>
    <row r="156" spans="7:9" ht="13.2">
      <c r="G156" s="38"/>
      <c r="H156" s="38"/>
      <c r="I156" s="38"/>
    </row>
    <row r="157" spans="7:9" ht="13.2">
      <c r="G157" s="38"/>
      <c r="H157" s="38"/>
      <c r="I157" s="38"/>
    </row>
    <row r="158" spans="7:9" ht="13.2">
      <c r="G158" s="38"/>
      <c r="H158" s="38"/>
      <c r="I158" s="38"/>
    </row>
    <row r="159" spans="7:9" ht="13.2">
      <c r="G159" s="38"/>
      <c r="H159" s="38"/>
      <c r="I159" s="38"/>
    </row>
    <row r="160" spans="7:9" ht="13.2">
      <c r="G160" s="38"/>
      <c r="H160" s="38"/>
      <c r="I160" s="38"/>
    </row>
    <row r="161" spans="7:9" ht="13.2">
      <c r="G161" s="38"/>
      <c r="H161" s="38"/>
      <c r="I161" s="38"/>
    </row>
    <row r="162" spans="7:9" ht="13.2">
      <c r="G162" s="38"/>
      <c r="H162" s="38"/>
      <c r="I162" s="38"/>
    </row>
    <row r="163" spans="7:9" ht="13.2">
      <c r="G163" s="38"/>
      <c r="H163" s="38"/>
      <c r="I163" s="38"/>
    </row>
    <row r="164" spans="7:9" ht="13.2">
      <c r="G164" s="38"/>
      <c r="H164" s="38"/>
      <c r="I164" s="38"/>
    </row>
    <row r="165" spans="7:9" ht="13.2">
      <c r="G165" s="38"/>
      <c r="H165" s="38"/>
      <c r="I165" s="38"/>
    </row>
    <row r="166" spans="7:9" ht="13.2">
      <c r="G166" s="38"/>
      <c r="H166" s="38"/>
      <c r="I166" s="38"/>
    </row>
    <row r="167" spans="7:9" ht="13.2">
      <c r="G167" s="38"/>
      <c r="H167" s="38"/>
      <c r="I167" s="38"/>
    </row>
    <row r="168" spans="7:9" ht="13.2">
      <c r="G168" s="38"/>
      <c r="H168" s="38"/>
      <c r="I168" s="38"/>
    </row>
    <row r="169" spans="7:9" ht="13.2">
      <c r="G169" s="38"/>
      <c r="H169" s="38"/>
      <c r="I169" s="38"/>
    </row>
    <row r="170" spans="7:9" ht="13.2">
      <c r="G170" s="38"/>
      <c r="H170" s="38"/>
      <c r="I170" s="38"/>
    </row>
    <row r="171" spans="7:9" ht="13.2">
      <c r="G171" s="38"/>
      <c r="H171" s="38"/>
      <c r="I171" s="38"/>
    </row>
    <row r="172" spans="7:9" ht="13.2">
      <c r="G172" s="38"/>
      <c r="H172" s="38"/>
      <c r="I172" s="38"/>
    </row>
    <row r="173" spans="7:9" ht="13.2">
      <c r="G173" s="38"/>
      <c r="H173" s="38"/>
      <c r="I173" s="38"/>
    </row>
    <row r="174" spans="7:9" ht="13.2">
      <c r="G174" s="38"/>
      <c r="H174" s="38"/>
      <c r="I174" s="38"/>
    </row>
    <row r="175" spans="7:9" ht="13.2">
      <c r="G175" s="38"/>
      <c r="H175" s="38"/>
      <c r="I175" s="38"/>
    </row>
    <row r="176" spans="7:9" ht="13.2">
      <c r="G176" s="38"/>
      <c r="H176" s="38"/>
      <c r="I176" s="38"/>
    </row>
    <row r="177" spans="7:9" ht="13.2">
      <c r="G177" s="38"/>
      <c r="H177" s="38"/>
      <c r="I177" s="38"/>
    </row>
    <row r="178" spans="7:9" ht="13.2">
      <c r="G178" s="38"/>
      <c r="H178" s="38"/>
      <c r="I178" s="38"/>
    </row>
    <row r="179" spans="7:9" ht="13.2">
      <c r="G179" s="38"/>
      <c r="H179" s="38"/>
      <c r="I179" s="38"/>
    </row>
    <row r="180" spans="7:9" ht="13.2">
      <c r="G180" s="38"/>
      <c r="H180" s="38"/>
      <c r="I180" s="38"/>
    </row>
    <row r="181" spans="7:9" ht="13.2">
      <c r="G181" s="38"/>
      <c r="H181" s="38"/>
      <c r="I181" s="38"/>
    </row>
    <row r="182" spans="7:9" ht="13.2">
      <c r="G182" s="38"/>
      <c r="H182" s="38"/>
      <c r="I182" s="38"/>
    </row>
    <row r="183" spans="7:9" ht="13.2">
      <c r="G183" s="38"/>
      <c r="H183" s="38"/>
      <c r="I183" s="38"/>
    </row>
    <row r="184" spans="7:9" ht="13.2">
      <c r="G184" s="38"/>
      <c r="H184" s="38"/>
      <c r="I184" s="38"/>
    </row>
    <row r="185" spans="7:9" ht="13.2">
      <c r="G185" s="38"/>
      <c r="H185" s="38"/>
      <c r="I185" s="38"/>
    </row>
    <row r="186" spans="7:9" ht="13.2">
      <c r="G186" s="38"/>
      <c r="H186" s="38"/>
      <c r="I186" s="38"/>
    </row>
    <row r="187" spans="7:9" ht="13.2">
      <c r="G187" s="38"/>
      <c r="H187" s="38"/>
      <c r="I187" s="38"/>
    </row>
    <row r="188" spans="7:9" ht="13.2">
      <c r="G188" s="38"/>
      <c r="H188" s="38"/>
      <c r="I188" s="38"/>
    </row>
    <row r="189" spans="7:9" ht="13.2">
      <c r="G189" s="38"/>
      <c r="H189" s="38"/>
      <c r="I189" s="38"/>
    </row>
    <row r="190" spans="7:9" ht="13.2">
      <c r="G190" s="38"/>
      <c r="H190" s="38"/>
      <c r="I190" s="38"/>
    </row>
    <row r="191" spans="7:9" ht="13.2">
      <c r="G191" s="38"/>
      <c r="H191" s="38"/>
      <c r="I191" s="38"/>
    </row>
    <row r="192" spans="7:9" ht="13.2">
      <c r="G192" s="38"/>
      <c r="H192" s="38"/>
      <c r="I192" s="38"/>
    </row>
    <row r="193" spans="7:9" ht="13.2">
      <c r="G193" s="38"/>
      <c r="H193" s="38"/>
      <c r="I193" s="38"/>
    </row>
    <row r="194" spans="7:9" ht="13.2">
      <c r="G194" s="38"/>
      <c r="H194" s="38"/>
      <c r="I194" s="38"/>
    </row>
    <row r="195" spans="7:9" ht="13.2">
      <c r="G195" s="38"/>
      <c r="H195" s="38"/>
      <c r="I195" s="38"/>
    </row>
    <row r="196" spans="7:9" ht="13.2">
      <c r="G196" s="38"/>
      <c r="H196" s="38"/>
      <c r="I196" s="38"/>
    </row>
    <row r="197" spans="7:9" ht="13.2">
      <c r="G197" s="38"/>
      <c r="H197" s="38"/>
      <c r="I197" s="38"/>
    </row>
    <row r="198" spans="7:9" ht="13.2">
      <c r="G198" s="38"/>
      <c r="H198" s="38"/>
      <c r="I198" s="38"/>
    </row>
    <row r="199" spans="7:9" ht="13.2">
      <c r="G199" s="38"/>
      <c r="H199" s="38"/>
      <c r="I199" s="38"/>
    </row>
    <row r="200" spans="7:9" ht="13.2">
      <c r="G200" s="38"/>
      <c r="H200" s="38"/>
      <c r="I200" s="38"/>
    </row>
    <row r="201" spans="7:9" ht="13.2">
      <c r="G201" s="38"/>
      <c r="H201" s="38"/>
      <c r="I201" s="38"/>
    </row>
    <row r="202" spans="7:9" ht="13.2">
      <c r="G202" s="38"/>
      <c r="H202" s="38"/>
      <c r="I202" s="38"/>
    </row>
    <row r="203" spans="7:9" ht="13.2">
      <c r="G203" s="38"/>
      <c r="H203" s="38"/>
      <c r="I203" s="38"/>
    </row>
    <row r="204" spans="7:9" ht="13.2">
      <c r="G204" s="38"/>
      <c r="H204" s="38"/>
      <c r="I204" s="38"/>
    </row>
    <row r="205" spans="7:9" ht="13.2">
      <c r="G205" s="38"/>
      <c r="H205" s="38"/>
      <c r="I205" s="38"/>
    </row>
    <row r="206" spans="7:9" ht="13.2">
      <c r="G206" s="38"/>
      <c r="H206" s="38"/>
      <c r="I206" s="38"/>
    </row>
    <row r="207" spans="7:9" ht="13.2">
      <c r="G207" s="38"/>
      <c r="H207" s="38"/>
      <c r="I207" s="38"/>
    </row>
    <row r="208" spans="7:9" ht="13.2">
      <c r="G208" s="38"/>
      <c r="H208" s="38"/>
      <c r="I208" s="38"/>
    </row>
    <row r="209" spans="7:9" ht="13.2">
      <c r="G209" s="38"/>
      <c r="H209" s="38"/>
      <c r="I209" s="38"/>
    </row>
    <row r="210" spans="7:9" ht="13.2">
      <c r="G210" s="38"/>
      <c r="H210" s="38"/>
      <c r="I210" s="38"/>
    </row>
    <row r="211" spans="7:9" ht="13.2">
      <c r="G211" s="38"/>
      <c r="H211" s="38"/>
      <c r="I211" s="38"/>
    </row>
    <row r="212" spans="7:9" ht="13.2">
      <c r="G212" s="38"/>
      <c r="H212" s="38"/>
      <c r="I212" s="38"/>
    </row>
    <row r="213" spans="7:9" ht="13.2">
      <c r="G213" s="38"/>
      <c r="H213" s="38"/>
      <c r="I213" s="38"/>
    </row>
    <row r="214" spans="7:9" ht="13.2">
      <c r="G214" s="38"/>
      <c r="H214" s="38"/>
      <c r="I214" s="38"/>
    </row>
    <row r="215" spans="7:9" ht="13.2">
      <c r="G215" s="38"/>
      <c r="H215" s="38"/>
      <c r="I215" s="38"/>
    </row>
    <row r="216" spans="7:9" ht="13.2">
      <c r="G216" s="38"/>
      <c r="H216" s="38"/>
      <c r="I216" s="38"/>
    </row>
    <row r="217" spans="7:9" ht="13.2">
      <c r="G217" s="38"/>
      <c r="H217" s="38"/>
      <c r="I217" s="38"/>
    </row>
    <row r="218" spans="7:9" ht="13.2">
      <c r="G218" s="38"/>
      <c r="H218" s="38"/>
      <c r="I218" s="38"/>
    </row>
    <row r="219" spans="7:9" ht="13.2">
      <c r="G219" s="38"/>
      <c r="H219" s="38"/>
      <c r="I219" s="38"/>
    </row>
    <row r="220" spans="7:9" ht="13.2">
      <c r="G220" s="38"/>
      <c r="H220" s="38"/>
      <c r="I220" s="38"/>
    </row>
    <row r="221" spans="7:9" ht="13.2">
      <c r="G221" s="38"/>
      <c r="H221" s="38"/>
      <c r="I221" s="38"/>
    </row>
    <row r="222" spans="7:9" ht="13.2">
      <c r="G222" s="38"/>
      <c r="H222" s="38"/>
      <c r="I222" s="38"/>
    </row>
    <row r="223" spans="7:9" ht="13.2">
      <c r="G223" s="38"/>
      <c r="H223" s="38"/>
      <c r="I223" s="38"/>
    </row>
    <row r="224" spans="7:9" ht="13.2">
      <c r="G224" s="38"/>
      <c r="H224" s="38"/>
      <c r="I224" s="38"/>
    </row>
    <row r="225" spans="7:9" ht="13.2">
      <c r="G225" s="38"/>
      <c r="H225" s="38"/>
      <c r="I225" s="38"/>
    </row>
    <row r="226" spans="7:9" ht="13.2">
      <c r="G226" s="38"/>
      <c r="H226" s="38"/>
      <c r="I226" s="38"/>
    </row>
    <row r="227" spans="7:9" ht="13.2">
      <c r="G227" s="38"/>
      <c r="H227" s="38"/>
      <c r="I227" s="38"/>
    </row>
    <row r="228" spans="7:9" ht="13.2">
      <c r="G228" s="38"/>
      <c r="H228" s="38"/>
      <c r="I228" s="38"/>
    </row>
    <row r="229" spans="7:9" ht="13.2">
      <c r="G229" s="38"/>
      <c r="H229" s="38"/>
      <c r="I229" s="38"/>
    </row>
    <row r="230" spans="7:9" ht="13.2">
      <c r="G230" s="38"/>
      <c r="H230" s="38"/>
      <c r="I230" s="38"/>
    </row>
    <row r="231" spans="7:9" ht="13.2">
      <c r="G231" s="38"/>
      <c r="H231" s="38"/>
      <c r="I231" s="38"/>
    </row>
    <row r="232" spans="7:9" ht="13.2">
      <c r="G232" s="38"/>
      <c r="H232" s="38"/>
      <c r="I232" s="38"/>
    </row>
    <row r="233" spans="7:9" ht="13.2">
      <c r="G233" s="38"/>
      <c r="H233" s="38"/>
      <c r="I233" s="38"/>
    </row>
    <row r="234" spans="7:9" ht="13.2">
      <c r="G234" s="38"/>
      <c r="H234" s="38"/>
      <c r="I234" s="38"/>
    </row>
    <row r="235" spans="7:9" ht="13.2">
      <c r="G235" s="38"/>
      <c r="H235" s="38"/>
      <c r="I235" s="38"/>
    </row>
    <row r="236" spans="7:9" ht="13.2">
      <c r="G236" s="38"/>
      <c r="H236" s="38"/>
      <c r="I236" s="38"/>
    </row>
    <row r="237" spans="7:9" ht="13.2">
      <c r="G237" s="38"/>
      <c r="H237" s="38"/>
      <c r="I237" s="38"/>
    </row>
    <row r="238" spans="7:9" ht="13.2">
      <c r="G238" s="38"/>
      <c r="H238" s="38"/>
      <c r="I238" s="38"/>
    </row>
    <row r="239" spans="7:9" ht="13.2">
      <c r="G239" s="38"/>
      <c r="H239" s="38"/>
      <c r="I239" s="38"/>
    </row>
    <row r="240" spans="7:9" ht="13.2">
      <c r="G240" s="38"/>
      <c r="H240" s="38"/>
      <c r="I240" s="38"/>
    </row>
    <row r="241" spans="7:9" ht="13.2">
      <c r="G241" s="38"/>
      <c r="H241" s="38"/>
      <c r="I241" s="38"/>
    </row>
    <row r="242" spans="7:9" ht="13.2">
      <c r="G242" s="38"/>
      <c r="H242" s="38"/>
      <c r="I242" s="38"/>
    </row>
    <row r="243" spans="7:9" ht="13.2">
      <c r="G243" s="38"/>
      <c r="H243" s="38"/>
      <c r="I243" s="38"/>
    </row>
    <row r="244" spans="7:9" ht="13.2">
      <c r="G244" s="38"/>
      <c r="H244" s="38"/>
      <c r="I244" s="38"/>
    </row>
    <row r="245" spans="7:9" ht="13.2">
      <c r="G245" s="38"/>
      <c r="H245" s="38"/>
      <c r="I245" s="38"/>
    </row>
    <row r="246" spans="7:9" ht="13.2">
      <c r="G246" s="38"/>
      <c r="H246" s="38"/>
      <c r="I246" s="38"/>
    </row>
    <row r="247" spans="7:9" ht="13.2">
      <c r="G247" s="38"/>
      <c r="H247" s="38"/>
      <c r="I247" s="38"/>
    </row>
    <row r="248" spans="7:9" ht="13.2">
      <c r="G248" s="38"/>
      <c r="H248" s="38"/>
      <c r="I248" s="38"/>
    </row>
    <row r="249" spans="7:9" ht="13.2">
      <c r="G249" s="38"/>
      <c r="H249" s="38"/>
      <c r="I249" s="38"/>
    </row>
    <row r="250" spans="7:9" ht="13.2">
      <c r="G250" s="38"/>
      <c r="H250" s="38"/>
      <c r="I250" s="38"/>
    </row>
    <row r="251" spans="7:9" ht="13.2">
      <c r="G251" s="38"/>
      <c r="H251" s="38"/>
      <c r="I251" s="38"/>
    </row>
    <row r="252" spans="7:9" ht="13.2">
      <c r="G252" s="38"/>
      <c r="H252" s="38"/>
      <c r="I252" s="38"/>
    </row>
    <row r="253" spans="7:9" ht="13.2">
      <c r="G253" s="38"/>
      <c r="H253" s="38"/>
      <c r="I253" s="38"/>
    </row>
    <row r="254" spans="7:9" ht="13.2">
      <c r="G254" s="38"/>
      <c r="H254" s="38"/>
      <c r="I254" s="38"/>
    </row>
    <row r="255" spans="7:9" ht="13.2">
      <c r="G255" s="38"/>
      <c r="H255" s="38"/>
      <c r="I255" s="38"/>
    </row>
    <row r="256" spans="7:9" ht="13.2">
      <c r="G256" s="38"/>
      <c r="H256" s="38"/>
      <c r="I256" s="38"/>
    </row>
    <row r="257" spans="7:9" ht="13.2">
      <c r="G257" s="38"/>
      <c r="H257" s="38"/>
      <c r="I257" s="38"/>
    </row>
    <row r="258" spans="7:9" ht="13.2">
      <c r="G258" s="38"/>
      <c r="H258" s="38"/>
      <c r="I258" s="38"/>
    </row>
    <row r="259" spans="7:9" ht="13.2">
      <c r="G259" s="38"/>
      <c r="H259" s="38"/>
      <c r="I259" s="38"/>
    </row>
    <row r="260" spans="7:9" ht="13.2">
      <c r="G260" s="38"/>
      <c r="H260" s="38"/>
      <c r="I260" s="38"/>
    </row>
    <row r="261" spans="7:9" ht="13.2">
      <c r="G261" s="38"/>
      <c r="H261" s="38"/>
      <c r="I261" s="38"/>
    </row>
    <row r="262" spans="7:9" ht="13.2">
      <c r="G262" s="38"/>
      <c r="H262" s="38"/>
      <c r="I262" s="38"/>
    </row>
    <row r="263" spans="7:9" ht="13.2">
      <c r="G263" s="38"/>
      <c r="H263" s="38"/>
      <c r="I263" s="38"/>
    </row>
    <row r="264" spans="7:9" ht="13.2">
      <c r="G264" s="38"/>
      <c r="H264" s="38"/>
      <c r="I264" s="38"/>
    </row>
    <row r="265" spans="7:9" ht="13.2">
      <c r="G265" s="38"/>
      <c r="H265" s="38"/>
      <c r="I265" s="38"/>
    </row>
    <row r="266" spans="7:9" ht="13.2">
      <c r="G266" s="38"/>
      <c r="H266" s="38"/>
      <c r="I266" s="38"/>
    </row>
    <row r="267" spans="7:9" ht="13.2">
      <c r="G267" s="38"/>
      <c r="H267" s="38"/>
      <c r="I267" s="38"/>
    </row>
    <row r="268" spans="7:9" ht="13.2">
      <c r="G268" s="38"/>
      <c r="H268" s="38"/>
      <c r="I268" s="38"/>
    </row>
    <row r="269" spans="7:9" ht="13.2">
      <c r="G269" s="38"/>
      <c r="H269" s="38"/>
      <c r="I269" s="38"/>
    </row>
    <row r="270" spans="7:9" ht="13.2">
      <c r="G270" s="38"/>
      <c r="H270" s="38"/>
      <c r="I270" s="38"/>
    </row>
    <row r="271" spans="7:9" ht="13.2">
      <c r="G271" s="38"/>
      <c r="H271" s="38"/>
      <c r="I271" s="38"/>
    </row>
    <row r="272" spans="7:9" ht="13.2">
      <c r="G272" s="38"/>
      <c r="H272" s="38"/>
      <c r="I272" s="38"/>
    </row>
    <row r="273" spans="7:9" ht="13.2">
      <c r="G273" s="38"/>
      <c r="H273" s="38"/>
      <c r="I273" s="38"/>
    </row>
    <row r="274" spans="7:9" ht="13.2">
      <c r="G274" s="38"/>
      <c r="H274" s="38"/>
      <c r="I274" s="38"/>
    </row>
    <row r="275" spans="7:9" ht="13.2">
      <c r="G275" s="38"/>
      <c r="H275" s="38"/>
      <c r="I275" s="38"/>
    </row>
    <row r="276" spans="7:9" ht="13.2">
      <c r="G276" s="38"/>
      <c r="H276" s="38"/>
      <c r="I276" s="38"/>
    </row>
    <row r="277" spans="7:9" ht="13.2">
      <c r="G277" s="38"/>
      <c r="H277" s="38"/>
      <c r="I277" s="38"/>
    </row>
    <row r="278" spans="7:9" ht="13.2">
      <c r="G278" s="38"/>
      <c r="H278" s="38"/>
      <c r="I278" s="38"/>
    </row>
    <row r="279" spans="7:9" ht="13.2">
      <c r="G279" s="38"/>
      <c r="H279" s="38"/>
      <c r="I279" s="38"/>
    </row>
    <row r="280" spans="7:9" ht="13.2">
      <c r="G280" s="38"/>
      <c r="H280" s="38"/>
      <c r="I280" s="38"/>
    </row>
    <row r="281" spans="7:9" ht="13.2">
      <c r="G281" s="38"/>
      <c r="H281" s="38"/>
      <c r="I281" s="38"/>
    </row>
    <row r="282" spans="7:9" ht="13.2">
      <c r="G282" s="38"/>
      <c r="H282" s="38"/>
      <c r="I282" s="38"/>
    </row>
    <row r="283" spans="7:9" ht="13.2">
      <c r="G283" s="38"/>
      <c r="H283" s="38"/>
      <c r="I283" s="38"/>
    </row>
    <row r="284" spans="7:9" ht="13.2">
      <c r="G284" s="38"/>
      <c r="H284" s="38"/>
      <c r="I284" s="38"/>
    </row>
    <row r="285" spans="7:9" ht="13.2">
      <c r="G285" s="38"/>
      <c r="H285" s="38"/>
      <c r="I285" s="38"/>
    </row>
    <row r="286" spans="7:9" ht="13.2">
      <c r="G286" s="38"/>
      <c r="H286" s="38"/>
      <c r="I286" s="38"/>
    </row>
    <row r="287" spans="7:9" ht="13.2">
      <c r="G287" s="38"/>
      <c r="H287" s="38"/>
      <c r="I287" s="38"/>
    </row>
    <row r="288" spans="7:9" ht="13.2">
      <c r="G288" s="38"/>
      <c r="H288" s="38"/>
      <c r="I288" s="38"/>
    </row>
    <row r="289" spans="7:9" ht="13.2">
      <c r="G289" s="38"/>
      <c r="H289" s="38"/>
      <c r="I289" s="38"/>
    </row>
    <row r="290" spans="7:9" ht="13.2">
      <c r="G290" s="38"/>
      <c r="H290" s="38"/>
      <c r="I290" s="38"/>
    </row>
    <row r="291" spans="7:9" ht="13.2">
      <c r="G291" s="38"/>
      <c r="H291" s="38"/>
      <c r="I291" s="38"/>
    </row>
    <row r="292" spans="7:9" ht="13.2">
      <c r="G292" s="38"/>
      <c r="H292" s="38"/>
      <c r="I292" s="38"/>
    </row>
    <row r="293" spans="7:9" ht="13.2">
      <c r="G293" s="38"/>
      <c r="H293" s="38"/>
      <c r="I293" s="38"/>
    </row>
    <row r="294" spans="7:9" ht="13.2">
      <c r="G294" s="38"/>
      <c r="H294" s="38"/>
      <c r="I294" s="38"/>
    </row>
    <row r="295" spans="7:9" ht="13.2">
      <c r="G295" s="38"/>
      <c r="H295" s="38"/>
      <c r="I295" s="38"/>
    </row>
    <row r="296" spans="7:9" ht="13.2">
      <c r="G296" s="38"/>
      <c r="H296" s="38"/>
      <c r="I296" s="38"/>
    </row>
    <row r="297" spans="7:9" ht="13.2">
      <c r="G297" s="38"/>
      <c r="H297" s="38"/>
      <c r="I297" s="38"/>
    </row>
    <row r="298" spans="7:9" ht="13.2">
      <c r="G298" s="38"/>
      <c r="H298" s="38"/>
      <c r="I298" s="38"/>
    </row>
    <row r="299" spans="7:9" ht="13.2">
      <c r="G299" s="38"/>
      <c r="H299" s="38"/>
      <c r="I299" s="38"/>
    </row>
    <row r="300" spans="7:9" ht="13.2">
      <c r="G300" s="38"/>
      <c r="H300" s="38"/>
      <c r="I300" s="38"/>
    </row>
    <row r="301" spans="7:9" ht="13.2">
      <c r="G301" s="38"/>
      <c r="H301" s="38"/>
      <c r="I301" s="38"/>
    </row>
    <row r="302" spans="7:9" ht="13.2">
      <c r="G302" s="38"/>
      <c r="H302" s="38"/>
      <c r="I302" s="38"/>
    </row>
    <row r="303" spans="7:9" ht="13.2">
      <c r="G303" s="38"/>
      <c r="H303" s="38"/>
      <c r="I303" s="38"/>
    </row>
    <row r="304" spans="7:9" ht="13.2">
      <c r="G304" s="38"/>
      <c r="H304" s="38"/>
      <c r="I304" s="38"/>
    </row>
    <row r="305" spans="7:9" ht="13.2">
      <c r="G305" s="38"/>
      <c r="H305" s="38"/>
      <c r="I305" s="38"/>
    </row>
    <row r="306" spans="7:9" ht="13.2">
      <c r="G306" s="38"/>
      <c r="H306" s="38"/>
      <c r="I306" s="38"/>
    </row>
    <row r="307" spans="7:9" ht="13.2">
      <c r="G307" s="38"/>
      <c r="H307" s="38"/>
      <c r="I307" s="38"/>
    </row>
    <row r="308" spans="7:9" ht="13.2">
      <c r="G308" s="38"/>
      <c r="H308" s="38"/>
      <c r="I308" s="38"/>
    </row>
    <row r="309" spans="7:9" ht="13.2">
      <c r="G309" s="38"/>
      <c r="H309" s="38"/>
      <c r="I309" s="38"/>
    </row>
    <row r="310" spans="7:9" ht="13.2">
      <c r="G310" s="38"/>
      <c r="H310" s="38"/>
      <c r="I310" s="38"/>
    </row>
    <row r="311" spans="7:9" ht="13.2">
      <c r="G311" s="38"/>
      <c r="H311" s="38"/>
      <c r="I311" s="38"/>
    </row>
    <row r="312" spans="7:9" ht="13.2">
      <c r="G312" s="38"/>
      <c r="H312" s="38"/>
      <c r="I312" s="38"/>
    </row>
    <row r="313" spans="7:9" ht="13.2">
      <c r="G313" s="38"/>
      <c r="H313" s="38"/>
      <c r="I313" s="38"/>
    </row>
    <row r="314" spans="7:9" ht="13.2">
      <c r="G314" s="38"/>
      <c r="H314" s="38"/>
      <c r="I314" s="38"/>
    </row>
    <row r="315" spans="7:9" ht="13.2">
      <c r="G315" s="38"/>
      <c r="H315" s="38"/>
      <c r="I315" s="38"/>
    </row>
    <row r="316" spans="7:9" ht="13.2">
      <c r="G316" s="38"/>
      <c r="H316" s="38"/>
      <c r="I316" s="38"/>
    </row>
    <row r="317" spans="7:9" ht="13.2">
      <c r="G317" s="38"/>
      <c r="H317" s="38"/>
      <c r="I317" s="38"/>
    </row>
    <row r="318" spans="7:9" ht="13.2">
      <c r="G318" s="38"/>
      <c r="H318" s="38"/>
      <c r="I318" s="38"/>
    </row>
    <row r="319" spans="7:9" ht="13.2">
      <c r="G319" s="38"/>
      <c r="H319" s="38"/>
      <c r="I319" s="38"/>
    </row>
    <row r="320" spans="7:9" ht="13.2">
      <c r="G320" s="38"/>
      <c r="H320" s="38"/>
      <c r="I320" s="38"/>
    </row>
    <row r="321" spans="7:9" ht="13.2">
      <c r="G321" s="38"/>
      <c r="H321" s="38"/>
      <c r="I321" s="38"/>
    </row>
    <row r="322" spans="7:9" ht="13.2">
      <c r="G322" s="38"/>
      <c r="H322" s="38"/>
      <c r="I322" s="38"/>
    </row>
    <row r="323" spans="7:9" ht="13.2">
      <c r="G323" s="38"/>
      <c r="H323" s="38"/>
      <c r="I323" s="38"/>
    </row>
    <row r="324" spans="7:9" ht="13.2">
      <c r="G324" s="38"/>
      <c r="H324" s="38"/>
      <c r="I324" s="38"/>
    </row>
    <row r="325" spans="7:9" ht="13.2">
      <c r="G325" s="38"/>
      <c r="H325" s="38"/>
      <c r="I325" s="38"/>
    </row>
    <row r="326" spans="7:9" ht="13.2">
      <c r="G326" s="38"/>
      <c r="H326" s="38"/>
      <c r="I326" s="38"/>
    </row>
    <row r="327" spans="7:9" ht="13.2">
      <c r="G327" s="38"/>
      <c r="H327" s="38"/>
      <c r="I327" s="38"/>
    </row>
    <row r="328" spans="7:9" ht="13.2">
      <c r="G328" s="38"/>
      <c r="H328" s="38"/>
      <c r="I328" s="38"/>
    </row>
    <row r="329" spans="7:9" ht="13.2">
      <c r="G329" s="38"/>
      <c r="H329" s="38"/>
      <c r="I329" s="38"/>
    </row>
    <row r="330" spans="7:9" ht="13.2">
      <c r="G330" s="38"/>
      <c r="H330" s="38"/>
      <c r="I330" s="38"/>
    </row>
    <row r="331" spans="7:9" ht="13.2">
      <c r="G331" s="38"/>
      <c r="H331" s="38"/>
      <c r="I331" s="38"/>
    </row>
    <row r="332" spans="7:9" ht="13.2">
      <c r="G332" s="38"/>
      <c r="H332" s="38"/>
      <c r="I332" s="38"/>
    </row>
    <row r="333" spans="7:9" ht="13.2">
      <c r="G333" s="38"/>
      <c r="H333" s="38"/>
      <c r="I333" s="38"/>
    </row>
    <row r="334" spans="7:9" ht="13.2">
      <c r="G334" s="38"/>
      <c r="H334" s="38"/>
      <c r="I334" s="38"/>
    </row>
    <row r="335" spans="7:9" ht="13.2">
      <c r="G335" s="38"/>
      <c r="H335" s="38"/>
      <c r="I335" s="38"/>
    </row>
    <row r="336" spans="7:9" ht="13.2">
      <c r="G336" s="38"/>
      <c r="H336" s="38"/>
      <c r="I336" s="38"/>
    </row>
    <row r="337" spans="7:9" ht="13.2">
      <c r="G337" s="38"/>
      <c r="H337" s="38"/>
      <c r="I337" s="38"/>
    </row>
    <row r="338" spans="7:9" ht="13.2">
      <c r="G338" s="38"/>
      <c r="H338" s="38"/>
      <c r="I338" s="38"/>
    </row>
    <row r="339" spans="7:9" ht="13.2">
      <c r="G339" s="38"/>
      <c r="H339" s="38"/>
      <c r="I339" s="38"/>
    </row>
    <row r="340" spans="7:9" ht="13.2">
      <c r="G340" s="38"/>
      <c r="H340" s="38"/>
      <c r="I340" s="38"/>
    </row>
    <row r="341" spans="7:9" ht="13.2">
      <c r="G341" s="38"/>
      <c r="H341" s="38"/>
      <c r="I341" s="38"/>
    </row>
    <row r="342" spans="7:9" ht="13.2">
      <c r="G342" s="38"/>
      <c r="H342" s="38"/>
      <c r="I342" s="38"/>
    </row>
    <row r="343" spans="7:9" ht="13.2">
      <c r="G343" s="38"/>
      <c r="H343" s="38"/>
      <c r="I343" s="38"/>
    </row>
    <row r="344" spans="7:9" ht="13.2">
      <c r="G344" s="38"/>
      <c r="H344" s="38"/>
      <c r="I344" s="38"/>
    </row>
    <row r="345" spans="7:9" ht="13.2">
      <c r="G345" s="38"/>
      <c r="H345" s="38"/>
      <c r="I345" s="38"/>
    </row>
    <row r="346" spans="7:9" ht="13.2">
      <c r="G346" s="38"/>
      <c r="H346" s="38"/>
      <c r="I346" s="38"/>
    </row>
    <row r="347" spans="7:9" ht="13.2">
      <c r="G347" s="38"/>
      <c r="H347" s="38"/>
      <c r="I347" s="38"/>
    </row>
    <row r="348" spans="7:9" ht="13.2">
      <c r="G348" s="38"/>
      <c r="H348" s="38"/>
      <c r="I348" s="38"/>
    </row>
    <row r="349" spans="7:9" ht="13.2">
      <c r="G349" s="38"/>
      <c r="H349" s="38"/>
      <c r="I349" s="38"/>
    </row>
    <row r="350" spans="7:9" ht="13.2">
      <c r="G350" s="38"/>
      <c r="H350" s="38"/>
      <c r="I350" s="38"/>
    </row>
    <row r="351" spans="7:9" ht="13.2">
      <c r="G351" s="38"/>
      <c r="H351" s="38"/>
      <c r="I351" s="38"/>
    </row>
    <row r="352" spans="7:9" ht="13.2">
      <c r="G352" s="38"/>
      <c r="H352" s="38"/>
      <c r="I352" s="38"/>
    </row>
    <row r="353" spans="7:9" ht="13.2">
      <c r="G353" s="38"/>
      <c r="H353" s="38"/>
      <c r="I353" s="38"/>
    </row>
    <row r="354" spans="7:9" ht="13.2">
      <c r="G354" s="38"/>
      <c r="H354" s="38"/>
      <c r="I354" s="38"/>
    </row>
    <row r="355" spans="7:9" ht="13.2">
      <c r="G355" s="38"/>
      <c r="H355" s="38"/>
      <c r="I355" s="38"/>
    </row>
    <row r="356" spans="7:9" ht="13.2">
      <c r="G356" s="38"/>
      <c r="H356" s="38"/>
      <c r="I356" s="38"/>
    </row>
    <row r="357" spans="7:9" ht="13.2">
      <c r="G357" s="38"/>
      <c r="H357" s="38"/>
      <c r="I357" s="38"/>
    </row>
    <row r="358" spans="7:9" ht="13.2">
      <c r="G358" s="38"/>
      <c r="H358" s="38"/>
      <c r="I358" s="38"/>
    </row>
    <row r="359" spans="7:9" ht="13.2">
      <c r="G359" s="38"/>
      <c r="H359" s="38"/>
      <c r="I359" s="38"/>
    </row>
    <row r="360" spans="7:9" ht="13.2">
      <c r="G360" s="38"/>
      <c r="H360" s="38"/>
      <c r="I360" s="38"/>
    </row>
    <row r="361" spans="7:9" ht="13.2">
      <c r="G361" s="38"/>
      <c r="H361" s="38"/>
      <c r="I361" s="38"/>
    </row>
    <row r="362" spans="7:9" ht="13.2">
      <c r="G362" s="38"/>
      <c r="H362" s="38"/>
      <c r="I362" s="38"/>
    </row>
    <row r="363" spans="7:9" ht="13.2">
      <c r="G363" s="38"/>
      <c r="H363" s="38"/>
      <c r="I363" s="38"/>
    </row>
    <row r="364" spans="7:9" ht="13.2">
      <c r="G364" s="38"/>
      <c r="H364" s="38"/>
      <c r="I364" s="38"/>
    </row>
    <row r="365" spans="7:9" ht="13.2">
      <c r="G365" s="38"/>
      <c r="H365" s="38"/>
      <c r="I365" s="38"/>
    </row>
    <row r="366" spans="7:9" ht="13.2">
      <c r="G366" s="38"/>
      <c r="H366" s="38"/>
      <c r="I366" s="38"/>
    </row>
    <row r="367" spans="7:9" ht="13.2">
      <c r="G367" s="38"/>
      <c r="H367" s="38"/>
      <c r="I367" s="38"/>
    </row>
    <row r="368" spans="7:9" ht="13.2">
      <c r="G368" s="38"/>
      <c r="H368" s="38"/>
      <c r="I368" s="38"/>
    </row>
    <row r="369" spans="7:9" ht="13.2">
      <c r="G369" s="38"/>
      <c r="H369" s="38"/>
      <c r="I369" s="38"/>
    </row>
    <row r="370" spans="7:9" ht="13.2">
      <c r="G370" s="38"/>
      <c r="H370" s="38"/>
      <c r="I370" s="38"/>
    </row>
    <row r="371" spans="7:9" ht="13.2">
      <c r="G371" s="38"/>
      <c r="H371" s="38"/>
      <c r="I371" s="38"/>
    </row>
    <row r="372" spans="7:9" ht="13.2">
      <c r="G372" s="38"/>
      <c r="H372" s="38"/>
      <c r="I372" s="38"/>
    </row>
    <row r="373" spans="7:9" ht="13.2">
      <c r="G373" s="38"/>
      <c r="H373" s="38"/>
      <c r="I373" s="38"/>
    </row>
    <row r="374" spans="7:9" ht="13.2">
      <c r="G374" s="38"/>
      <c r="H374" s="38"/>
      <c r="I374" s="38"/>
    </row>
    <row r="375" spans="7:9" ht="13.2">
      <c r="G375" s="38"/>
      <c r="H375" s="38"/>
      <c r="I375" s="38"/>
    </row>
    <row r="376" spans="7:9" ht="13.2">
      <c r="G376" s="38"/>
      <c r="H376" s="38"/>
      <c r="I376" s="38"/>
    </row>
    <row r="377" spans="7:9" ht="13.2">
      <c r="G377" s="38"/>
      <c r="H377" s="38"/>
      <c r="I377" s="38"/>
    </row>
    <row r="378" spans="7:9" ht="13.2">
      <c r="G378" s="38"/>
      <c r="H378" s="38"/>
      <c r="I378" s="38"/>
    </row>
    <row r="379" spans="7:9" ht="13.2">
      <c r="G379" s="38"/>
      <c r="H379" s="38"/>
      <c r="I379" s="38"/>
    </row>
    <row r="380" spans="7:9" ht="13.2">
      <c r="G380" s="38"/>
      <c r="H380" s="38"/>
      <c r="I380" s="38"/>
    </row>
    <row r="381" spans="7:9" ht="13.2">
      <c r="G381" s="38"/>
      <c r="H381" s="38"/>
      <c r="I381" s="38"/>
    </row>
    <row r="382" spans="7:9" ht="13.2">
      <c r="G382" s="38"/>
      <c r="H382" s="38"/>
      <c r="I382" s="38"/>
    </row>
    <row r="383" spans="7:9" ht="13.2">
      <c r="G383" s="38"/>
      <c r="H383" s="38"/>
      <c r="I383" s="38"/>
    </row>
    <row r="384" spans="7:9" ht="13.2">
      <c r="G384" s="38"/>
      <c r="H384" s="38"/>
      <c r="I384" s="38"/>
    </row>
    <row r="385" spans="7:9" ht="13.2">
      <c r="G385" s="38"/>
      <c r="H385" s="38"/>
      <c r="I385" s="38"/>
    </row>
    <row r="386" spans="7:9" ht="13.2">
      <c r="G386" s="38"/>
      <c r="H386" s="38"/>
      <c r="I386" s="38"/>
    </row>
    <row r="387" spans="7:9" ht="13.2">
      <c r="G387" s="38"/>
      <c r="H387" s="38"/>
      <c r="I387" s="38"/>
    </row>
    <row r="388" spans="7:9" ht="13.2">
      <c r="G388" s="38"/>
      <c r="H388" s="38"/>
      <c r="I388" s="38"/>
    </row>
    <row r="389" spans="7:9" ht="13.2">
      <c r="G389" s="38"/>
      <c r="H389" s="38"/>
      <c r="I389" s="38"/>
    </row>
    <row r="390" spans="7:9" ht="13.2">
      <c r="G390" s="38"/>
      <c r="H390" s="38"/>
      <c r="I390" s="38"/>
    </row>
    <row r="391" spans="7:9" ht="13.2">
      <c r="G391" s="38"/>
      <c r="H391" s="38"/>
      <c r="I391" s="38"/>
    </row>
    <row r="392" spans="7:9" ht="13.2">
      <c r="G392" s="38"/>
      <c r="H392" s="38"/>
      <c r="I392" s="38"/>
    </row>
    <row r="393" spans="7:9" ht="13.2">
      <c r="G393" s="38"/>
      <c r="H393" s="38"/>
      <c r="I393" s="38"/>
    </row>
    <row r="394" spans="7:9" ht="13.2">
      <c r="G394" s="38"/>
      <c r="H394" s="38"/>
      <c r="I394" s="38"/>
    </row>
    <row r="395" spans="7:9" ht="13.2">
      <c r="G395" s="38"/>
      <c r="H395" s="38"/>
      <c r="I395" s="38"/>
    </row>
    <row r="396" spans="7:9" ht="13.2">
      <c r="G396" s="38"/>
      <c r="H396" s="38"/>
      <c r="I396" s="38"/>
    </row>
    <row r="397" spans="7:9" ht="13.2">
      <c r="G397" s="38"/>
      <c r="H397" s="38"/>
      <c r="I397" s="38"/>
    </row>
    <row r="398" spans="7:9" ht="13.2">
      <c r="G398" s="38"/>
      <c r="H398" s="38"/>
      <c r="I398" s="38"/>
    </row>
    <row r="399" spans="7:9" ht="13.2">
      <c r="G399" s="38"/>
      <c r="H399" s="38"/>
      <c r="I399" s="38"/>
    </row>
    <row r="400" spans="7:9" ht="13.2">
      <c r="G400" s="38"/>
      <c r="H400" s="38"/>
      <c r="I400" s="38"/>
    </row>
    <row r="401" spans="7:9" ht="13.2">
      <c r="G401" s="38"/>
      <c r="H401" s="38"/>
      <c r="I401" s="38"/>
    </row>
    <row r="402" spans="7:9" ht="13.2">
      <c r="G402" s="38"/>
      <c r="H402" s="38"/>
      <c r="I402" s="38"/>
    </row>
    <row r="403" spans="7:9" ht="13.2">
      <c r="G403" s="38"/>
      <c r="H403" s="38"/>
      <c r="I403" s="38"/>
    </row>
    <row r="404" spans="7:9" ht="13.2">
      <c r="G404" s="38"/>
      <c r="H404" s="38"/>
      <c r="I404" s="38"/>
    </row>
    <row r="405" spans="7:9" ht="13.2">
      <c r="G405" s="38"/>
      <c r="H405" s="38"/>
      <c r="I405" s="38"/>
    </row>
    <row r="406" spans="7:9" ht="13.2">
      <c r="G406" s="38"/>
      <c r="H406" s="38"/>
      <c r="I406" s="38"/>
    </row>
    <row r="407" spans="7:9" ht="13.2">
      <c r="G407" s="38"/>
      <c r="H407" s="38"/>
      <c r="I407" s="38"/>
    </row>
    <row r="408" spans="7:9" ht="13.2">
      <c r="G408" s="38"/>
      <c r="H408" s="38"/>
      <c r="I408" s="38"/>
    </row>
    <row r="409" spans="7:9" ht="13.2">
      <c r="G409" s="38"/>
      <c r="H409" s="38"/>
      <c r="I409" s="38"/>
    </row>
    <row r="410" spans="7:9" ht="13.2">
      <c r="G410" s="38"/>
      <c r="H410" s="38"/>
      <c r="I410" s="38"/>
    </row>
    <row r="411" spans="7:9" ht="13.2">
      <c r="G411" s="38"/>
      <c r="H411" s="38"/>
      <c r="I411" s="38"/>
    </row>
    <row r="412" spans="7:9" ht="13.2">
      <c r="G412" s="38"/>
      <c r="H412" s="38"/>
      <c r="I412" s="38"/>
    </row>
    <row r="413" spans="7:9" ht="13.2">
      <c r="G413" s="38"/>
      <c r="H413" s="38"/>
      <c r="I413" s="38"/>
    </row>
    <row r="414" spans="7:9" ht="13.2">
      <c r="G414" s="38"/>
      <c r="H414" s="38"/>
      <c r="I414" s="38"/>
    </row>
    <row r="415" spans="7:9" ht="13.2">
      <c r="G415" s="38"/>
      <c r="H415" s="38"/>
      <c r="I415" s="38"/>
    </row>
    <row r="416" spans="7:9" ht="13.2">
      <c r="G416" s="38"/>
      <c r="H416" s="38"/>
      <c r="I416" s="38"/>
    </row>
    <row r="417" spans="7:9" ht="13.2">
      <c r="G417" s="38"/>
      <c r="H417" s="38"/>
      <c r="I417" s="38"/>
    </row>
    <row r="418" spans="7:9" ht="13.2">
      <c r="G418" s="38"/>
      <c r="H418" s="38"/>
      <c r="I418" s="38"/>
    </row>
    <row r="419" spans="7:9" ht="13.2">
      <c r="G419" s="38"/>
      <c r="H419" s="38"/>
      <c r="I419" s="38"/>
    </row>
    <row r="420" spans="7:9" ht="13.2">
      <c r="G420" s="38"/>
      <c r="H420" s="38"/>
      <c r="I420" s="38"/>
    </row>
    <row r="421" spans="7:9" ht="13.2">
      <c r="G421" s="38"/>
      <c r="H421" s="38"/>
      <c r="I421" s="38"/>
    </row>
    <row r="422" spans="7:9" ht="13.2">
      <c r="G422" s="38"/>
      <c r="H422" s="38"/>
      <c r="I422" s="38"/>
    </row>
    <row r="423" spans="7:9" ht="13.2">
      <c r="G423" s="38"/>
      <c r="H423" s="38"/>
      <c r="I423" s="38"/>
    </row>
    <row r="424" spans="7:9" ht="13.2">
      <c r="G424" s="38"/>
      <c r="H424" s="38"/>
      <c r="I424" s="38"/>
    </row>
    <row r="425" spans="7:9" ht="13.2">
      <c r="G425" s="38"/>
      <c r="H425" s="38"/>
      <c r="I425" s="38"/>
    </row>
    <row r="426" spans="7:9" ht="13.2">
      <c r="G426" s="38"/>
      <c r="H426" s="38"/>
      <c r="I426" s="38"/>
    </row>
    <row r="427" spans="7:9" ht="13.2">
      <c r="G427" s="38"/>
      <c r="H427" s="38"/>
      <c r="I427" s="38"/>
    </row>
    <row r="428" spans="7:9" ht="13.2">
      <c r="G428" s="38"/>
      <c r="H428" s="38"/>
      <c r="I428" s="38"/>
    </row>
    <row r="429" spans="7:9" ht="13.2">
      <c r="G429" s="38"/>
      <c r="H429" s="38"/>
      <c r="I429" s="38"/>
    </row>
    <row r="430" spans="7:9" ht="13.2">
      <c r="G430" s="38"/>
      <c r="H430" s="38"/>
      <c r="I430" s="38"/>
    </row>
    <row r="431" spans="7:9" ht="13.2">
      <c r="G431" s="38"/>
      <c r="H431" s="38"/>
      <c r="I431" s="38"/>
    </row>
    <row r="432" spans="7:9" ht="13.2">
      <c r="G432" s="38"/>
      <c r="H432" s="38"/>
      <c r="I432" s="38"/>
    </row>
    <row r="433" spans="7:9" ht="13.2">
      <c r="G433" s="38"/>
      <c r="H433" s="38"/>
      <c r="I433" s="38"/>
    </row>
    <row r="434" spans="7:9" ht="13.2">
      <c r="G434" s="38"/>
      <c r="H434" s="38"/>
      <c r="I434" s="38"/>
    </row>
    <row r="435" spans="7:9" ht="13.2">
      <c r="G435" s="38"/>
      <c r="H435" s="38"/>
      <c r="I435" s="38"/>
    </row>
    <row r="436" spans="7:9" ht="13.2">
      <c r="G436" s="38"/>
      <c r="H436" s="38"/>
      <c r="I436" s="38"/>
    </row>
    <row r="437" spans="7:9" ht="13.2">
      <c r="G437" s="38"/>
      <c r="H437" s="38"/>
      <c r="I437" s="38"/>
    </row>
    <row r="438" spans="7:9" ht="13.2">
      <c r="G438" s="38"/>
      <c r="H438" s="38"/>
      <c r="I438" s="38"/>
    </row>
    <row r="439" spans="7:9" ht="13.2">
      <c r="G439" s="38"/>
      <c r="H439" s="38"/>
      <c r="I439" s="38"/>
    </row>
    <row r="440" spans="7:9" ht="13.2">
      <c r="G440" s="38"/>
      <c r="H440" s="38"/>
      <c r="I440" s="38"/>
    </row>
    <row r="441" spans="7:9" ht="13.2">
      <c r="G441" s="38"/>
      <c r="H441" s="38"/>
      <c r="I441" s="38"/>
    </row>
    <row r="442" spans="7:9" ht="13.2">
      <c r="G442" s="38"/>
      <c r="H442" s="38"/>
      <c r="I442" s="38"/>
    </row>
    <row r="443" spans="7:9" ht="13.2">
      <c r="G443" s="38"/>
      <c r="H443" s="38"/>
      <c r="I443" s="38"/>
    </row>
    <row r="444" spans="7:9" ht="13.2">
      <c r="G444" s="38"/>
      <c r="H444" s="38"/>
      <c r="I444" s="38"/>
    </row>
    <row r="445" spans="7:9" ht="13.2">
      <c r="G445" s="38"/>
      <c r="H445" s="38"/>
      <c r="I445" s="38"/>
    </row>
    <row r="446" spans="7:9" ht="13.2">
      <c r="G446" s="38"/>
      <c r="H446" s="38"/>
      <c r="I446" s="38"/>
    </row>
    <row r="447" spans="7:9" ht="13.2">
      <c r="G447" s="38"/>
      <c r="H447" s="38"/>
      <c r="I447" s="38"/>
    </row>
    <row r="448" spans="7:9" ht="13.2">
      <c r="G448" s="38"/>
      <c r="H448" s="38"/>
      <c r="I448" s="38"/>
    </row>
    <row r="449" spans="7:9" ht="13.2">
      <c r="G449" s="38"/>
      <c r="H449" s="38"/>
      <c r="I449" s="38"/>
    </row>
    <row r="450" spans="7:9" ht="13.2">
      <c r="G450" s="38"/>
      <c r="H450" s="38"/>
      <c r="I450" s="38"/>
    </row>
    <row r="451" spans="7:9" ht="13.2">
      <c r="G451" s="38"/>
      <c r="H451" s="38"/>
      <c r="I451" s="38"/>
    </row>
    <row r="452" spans="7:9" ht="13.2">
      <c r="G452" s="38"/>
      <c r="H452" s="38"/>
      <c r="I452" s="38"/>
    </row>
    <row r="453" spans="7:9" ht="13.2">
      <c r="G453" s="38"/>
      <c r="H453" s="38"/>
      <c r="I453" s="38"/>
    </row>
    <row r="454" spans="7:9" ht="13.2">
      <c r="G454" s="38"/>
      <c r="H454" s="38"/>
      <c r="I454" s="38"/>
    </row>
    <row r="455" spans="7:9" ht="13.2">
      <c r="G455" s="38"/>
      <c r="H455" s="38"/>
      <c r="I455" s="38"/>
    </row>
    <row r="456" spans="7:9" ht="13.2">
      <c r="G456" s="38"/>
      <c r="H456" s="38"/>
      <c r="I456" s="38"/>
    </row>
    <row r="457" spans="7:9" ht="13.2">
      <c r="G457" s="38"/>
      <c r="H457" s="38"/>
      <c r="I457" s="38"/>
    </row>
    <row r="458" spans="7:9" ht="13.2">
      <c r="G458" s="38"/>
      <c r="H458" s="38"/>
      <c r="I458" s="38"/>
    </row>
    <row r="459" spans="7:9" ht="13.2">
      <c r="G459" s="38"/>
      <c r="H459" s="38"/>
      <c r="I459" s="38"/>
    </row>
    <row r="460" spans="7:9" ht="13.2">
      <c r="G460" s="38"/>
      <c r="H460" s="38"/>
      <c r="I460" s="38"/>
    </row>
    <row r="461" spans="7:9" ht="13.2">
      <c r="G461" s="38"/>
      <c r="H461" s="38"/>
      <c r="I461" s="38"/>
    </row>
    <row r="462" spans="7:9" ht="13.2">
      <c r="G462" s="38"/>
      <c r="H462" s="38"/>
      <c r="I462" s="38"/>
    </row>
    <row r="463" spans="7:9" ht="13.2">
      <c r="G463" s="38"/>
      <c r="H463" s="38"/>
      <c r="I463" s="38"/>
    </row>
    <row r="464" spans="7:9" ht="13.2">
      <c r="G464" s="38"/>
      <c r="H464" s="38"/>
      <c r="I464" s="38"/>
    </row>
    <row r="465" spans="7:9" ht="13.2">
      <c r="G465" s="38"/>
      <c r="H465" s="38"/>
      <c r="I465" s="38"/>
    </row>
    <row r="466" spans="7:9" ht="13.2">
      <c r="G466" s="38"/>
      <c r="H466" s="38"/>
      <c r="I466" s="38"/>
    </row>
    <row r="467" spans="7:9" ht="13.2">
      <c r="G467" s="38"/>
      <c r="H467" s="38"/>
      <c r="I467" s="38"/>
    </row>
    <row r="468" spans="7:9" ht="13.2">
      <c r="G468" s="38"/>
      <c r="H468" s="38"/>
      <c r="I468" s="38"/>
    </row>
    <row r="469" spans="7:9" ht="13.2">
      <c r="G469" s="38"/>
      <c r="H469" s="38"/>
      <c r="I469" s="38"/>
    </row>
    <row r="470" spans="7:9" ht="13.2">
      <c r="G470" s="38"/>
      <c r="H470" s="38"/>
      <c r="I470" s="38"/>
    </row>
    <row r="471" spans="7:9" ht="13.2">
      <c r="G471" s="38"/>
      <c r="H471" s="38"/>
      <c r="I471" s="38"/>
    </row>
    <row r="472" spans="7:9" ht="13.2">
      <c r="G472" s="38"/>
      <c r="H472" s="38"/>
      <c r="I472" s="38"/>
    </row>
    <row r="473" spans="7:9" ht="13.2">
      <c r="G473" s="38"/>
      <c r="H473" s="38"/>
      <c r="I473" s="38"/>
    </row>
    <row r="474" spans="7:9" ht="13.2">
      <c r="G474" s="38"/>
      <c r="H474" s="38"/>
      <c r="I474" s="38"/>
    </row>
    <row r="475" spans="7:9" ht="13.2">
      <c r="G475" s="38"/>
      <c r="H475" s="38"/>
      <c r="I475" s="38"/>
    </row>
    <row r="476" spans="7:9" ht="13.2">
      <c r="G476" s="38"/>
      <c r="H476" s="38"/>
      <c r="I476" s="38"/>
    </row>
    <row r="477" spans="7:9" ht="13.2">
      <c r="G477" s="38"/>
      <c r="H477" s="38"/>
      <c r="I477" s="38"/>
    </row>
    <row r="478" spans="7:9" ht="13.2">
      <c r="G478" s="38"/>
      <c r="H478" s="38"/>
      <c r="I478" s="38"/>
    </row>
    <row r="479" spans="7:9" ht="13.2">
      <c r="G479" s="38"/>
      <c r="H479" s="38"/>
      <c r="I479" s="38"/>
    </row>
    <row r="480" spans="7:9" ht="13.2">
      <c r="G480" s="38"/>
      <c r="H480" s="38"/>
      <c r="I480" s="38"/>
    </row>
    <row r="481" spans="7:9" ht="13.2">
      <c r="G481" s="38"/>
      <c r="H481" s="38"/>
      <c r="I481" s="38"/>
    </row>
    <row r="482" spans="7:9" ht="13.2">
      <c r="G482" s="38"/>
      <c r="H482" s="38"/>
      <c r="I482" s="38"/>
    </row>
    <row r="483" spans="7:9" ht="13.2">
      <c r="G483" s="38"/>
      <c r="H483" s="38"/>
      <c r="I483" s="38"/>
    </row>
    <row r="484" spans="7:9" ht="13.2">
      <c r="G484" s="38"/>
      <c r="H484" s="38"/>
      <c r="I484" s="38"/>
    </row>
    <row r="485" spans="7:9" ht="13.2">
      <c r="G485" s="38"/>
      <c r="H485" s="38"/>
      <c r="I485" s="38"/>
    </row>
    <row r="486" spans="7:9" ht="13.2">
      <c r="G486" s="38"/>
      <c r="H486" s="38"/>
      <c r="I486" s="38"/>
    </row>
    <row r="487" spans="7:9" ht="13.2">
      <c r="G487" s="38"/>
      <c r="H487" s="38"/>
      <c r="I487" s="38"/>
    </row>
    <row r="488" spans="7:9" ht="13.2">
      <c r="G488" s="38"/>
      <c r="H488" s="38"/>
      <c r="I488" s="38"/>
    </row>
    <row r="489" spans="7:9" ht="13.2">
      <c r="G489" s="38"/>
      <c r="H489" s="38"/>
      <c r="I489" s="38"/>
    </row>
    <row r="490" spans="7:9" ht="13.2">
      <c r="G490" s="38"/>
      <c r="H490" s="38"/>
      <c r="I490" s="38"/>
    </row>
    <row r="491" spans="7:9" ht="13.2">
      <c r="G491" s="38"/>
      <c r="H491" s="38"/>
      <c r="I491" s="38"/>
    </row>
    <row r="492" spans="7:9" ht="13.2">
      <c r="G492" s="38"/>
      <c r="H492" s="38"/>
      <c r="I492" s="38"/>
    </row>
    <row r="493" spans="7:9" ht="13.2">
      <c r="G493" s="38"/>
      <c r="H493" s="38"/>
      <c r="I493" s="38"/>
    </row>
    <row r="494" spans="7:9" ht="13.2">
      <c r="G494" s="38"/>
      <c r="H494" s="38"/>
      <c r="I494" s="38"/>
    </row>
    <row r="495" spans="7:9" ht="13.2">
      <c r="G495" s="38"/>
      <c r="H495" s="38"/>
      <c r="I495" s="38"/>
    </row>
    <row r="496" spans="7:9" ht="13.2">
      <c r="G496" s="38"/>
      <c r="H496" s="38"/>
      <c r="I496" s="38"/>
    </row>
    <row r="497" spans="7:9" ht="13.2">
      <c r="G497" s="38"/>
      <c r="H497" s="38"/>
      <c r="I497" s="38"/>
    </row>
    <row r="498" spans="7:9" ht="13.2">
      <c r="G498" s="38"/>
      <c r="H498" s="38"/>
      <c r="I498" s="38"/>
    </row>
    <row r="499" spans="7:9" ht="13.2">
      <c r="G499" s="38"/>
      <c r="H499" s="38"/>
      <c r="I499" s="38"/>
    </row>
    <row r="500" spans="7:9" ht="13.2">
      <c r="G500" s="38"/>
      <c r="H500" s="38"/>
      <c r="I500" s="38"/>
    </row>
    <row r="501" spans="7:9" ht="13.2">
      <c r="G501" s="38"/>
      <c r="H501" s="38"/>
      <c r="I501" s="38"/>
    </row>
    <row r="502" spans="7:9" ht="13.2">
      <c r="G502" s="38"/>
      <c r="H502" s="38"/>
      <c r="I502" s="38"/>
    </row>
    <row r="503" spans="7:9" ht="13.2">
      <c r="G503" s="38"/>
      <c r="H503" s="38"/>
      <c r="I503" s="38"/>
    </row>
    <row r="504" spans="7:9" ht="13.2">
      <c r="G504" s="38"/>
      <c r="H504" s="38"/>
      <c r="I504" s="38"/>
    </row>
    <row r="505" spans="7:9" ht="13.2">
      <c r="G505" s="38"/>
      <c r="H505" s="38"/>
      <c r="I505" s="38"/>
    </row>
    <row r="506" spans="7:9" ht="13.2">
      <c r="G506" s="38"/>
      <c r="H506" s="38"/>
      <c r="I506" s="38"/>
    </row>
    <row r="507" spans="7:9" ht="13.2">
      <c r="G507" s="38"/>
      <c r="H507" s="38"/>
      <c r="I507" s="38"/>
    </row>
    <row r="508" spans="7:9" ht="13.2">
      <c r="G508" s="38"/>
      <c r="H508" s="38"/>
      <c r="I508" s="38"/>
    </row>
    <row r="509" spans="7:9" ht="13.2">
      <c r="G509" s="38"/>
      <c r="H509" s="38"/>
      <c r="I509" s="38"/>
    </row>
    <row r="510" spans="7:9" ht="13.2">
      <c r="G510" s="38"/>
      <c r="H510" s="38"/>
      <c r="I510" s="38"/>
    </row>
    <row r="511" spans="7:9" ht="13.2">
      <c r="G511" s="38"/>
      <c r="H511" s="38"/>
      <c r="I511" s="38"/>
    </row>
    <row r="512" spans="7:9" ht="13.2">
      <c r="G512" s="38"/>
      <c r="H512" s="38"/>
      <c r="I512" s="38"/>
    </row>
    <row r="513" spans="7:9" ht="13.2">
      <c r="G513" s="38"/>
      <c r="H513" s="38"/>
      <c r="I513" s="38"/>
    </row>
    <row r="514" spans="7:9" ht="13.2">
      <c r="G514" s="38"/>
      <c r="H514" s="38"/>
      <c r="I514" s="38"/>
    </row>
    <row r="515" spans="7:9" ht="13.2">
      <c r="G515" s="38"/>
      <c r="H515" s="38"/>
      <c r="I515" s="38"/>
    </row>
    <row r="516" spans="7:9" ht="13.2">
      <c r="G516" s="38"/>
      <c r="H516" s="38"/>
      <c r="I516" s="38"/>
    </row>
    <row r="517" spans="7:9" ht="13.2">
      <c r="G517" s="38"/>
      <c r="H517" s="38"/>
      <c r="I517" s="38"/>
    </row>
    <row r="518" spans="7:9" ht="13.2">
      <c r="G518" s="38"/>
      <c r="H518" s="38"/>
      <c r="I518" s="38"/>
    </row>
    <row r="519" spans="7:9" ht="13.2">
      <c r="G519" s="38"/>
      <c r="H519" s="38"/>
      <c r="I519" s="38"/>
    </row>
    <row r="520" spans="7:9" ht="13.2">
      <c r="G520" s="38"/>
      <c r="H520" s="38"/>
      <c r="I520" s="38"/>
    </row>
    <row r="521" spans="7:9" ht="13.2">
      <c r="G521" s="38"/>
      <c r="H521" s="38"/>
      <c r="I521" s="38"/>
    </row>
    <row r="522" spans="7:9" ht="13.2">
      <c r="G522" s="38"/>
      <c r="H522" s="38"/>
      <c r="I522" s="38"/>
    </row>
    <row r="523" spans="7:9" ht="13.2">
      <c r="G523" s="38"/>
      <c r="H523" s="38"/>
      <c r="I523" s="38"/>
    </row>
    <row r="524" spans="7:9" ht="13.2">
      <c r="G524" s="38"/>
      <c r="H524" s="38"/>
      <c r="I524" s="38"/>
    </row>
    <row r="525" spans="7:9" ht="13.2">
      <c r="G525" s="38"/>
      <c r="H525" s="38"/>
      <c r="I525" s="38"/>
    </row>
    <row r="526" spans="7:9" ht="13.2">
      <c r="G526" s="38"/>
      <c r="H526" s="38"/>
      <c r="I526" s="38"/>
    </row>
    <row r="527" spans="7:9" ht="13.2">
      <c r="G527" s="38"/>
      <c r="H527" s="38"/>
      <c r="I527" s="38"/>
    </row>
    <row r="528" spans="7:9" ht="13.2">
      <c r="G528" s="38"/>
      <c r="H528" s="38"/>
      <c r="I528" s="38"/>
    </row>
    <row r="529" spans="7:9" ht="13.2">
      <c r="G529" s="38"/>
      <c r="H529" s="38"/>
      <c r="I529" s="38"/>
    </row>
    <row r="530" spans="7:9" ht="13.2">
      <c r="G530" s="38"/>
      <c r="H530" s="38"/>
      <c r="I530" s="38"/>
    </row>
    <row r="531" spans="7:9" ht="13.2">
      <c r="G531" s="38"/>
      <c r="H531" s="38"/>
      <c r="I531" s="38"/>
    </row>
    <row r="532" spans="7:9" ht="13.2">
      <c r="G532" s="38"/>
      <c r="H532" s="38"/>
      <c r="I532" s="38"/>
    </row>
    <row r="533" spans="7:9" ht="13.2">
      <c r="G533" s="38"/>
      <c r="H533" s="38"/>
      <c r="I533" s="38"/>
    </row>
    <row r="534" spans="7:9" ht="13.2">
      <c r="G534" s="38"/>
      <c r="H534" s="38"/>
      <c r="I534" s="38"/>
    </row>
    <row r="535" spans="7:9" ht="13.2">
      <c r="G535" s="38"/>
      <c r="H535" s="38"/>
      <c r="I535" s="38"/>
    </row>
    <row r="536" spans="7:9" ht="13.2">
      <c r="G536" s="38"/>
      <c r="H536" s="38"/>
      <c r="I536" s="38"/>
    </row>
    <row r="537" spans="7:9" ht="13.2">
      <c r="G537" s="38"/>
      <c r="H537" s="38"/>
      <c r="I537" s="38"/>
    </row>
    <row r="538" spans="7:9" ht="13.2">
      <c r="G538" s="38"/>
      <c r="H538" s="38"/>
      <c r="I538" s="38"/>
    </row>
    <row r="539" spans="7:9" ht="13.2">
      <c r="G539" s="38"/>
      <c r="H539" s="38"/>
      <c r="I539" s="38"/>
    </row>
    <row r="540" spans="7:9" ht="13.2">
      <c r="G540" s="38"/>
      <c r="H540" s="38"/>
      <c r="I540" s="38"/>
    </row>
    <row r="541" spans="7:9" ht="13.2">
      <c r="G541" s="38"/>
      <c r="H541" s="38"/>
      <c r="I541" s="38"/>
    </row>
    <row r="542" spans="7:9" ht="13.2">
      <c r="G542" s="38"/>
      <c r="H542" s="38"/>
      <c r="I542" s="38"/>
    </row>
    <row r="543" spans="7:9" ht="13.2">
      <c r="G543" s="38"/>
      <c r="H543" s="38"/>
      <c r="I543" s="38"/>
    </row>
    <row r="544" spans="7:9" ht="13.2">
      <c r="G544" s="38"/>
      <c r="H544" s="38"/>
      <c r="I544" s="38"/>
    </row>
    <row r="545" spans="7:9" ht="13.2">
      <c r="G545" s="38"/>
      <c r="H545" s="38"/>
      <c r="I545" s="38"/>
    </row>
    <row r="546" spans="7:9" ht="13.2">
      <c r="G546" s="38"/>
      <c r="H546" s="38"/>
      <c r="I546" s="38"/>
    </row>
    <row r="547" spans="7:9" ht="13.2">
      <c r="G547" s="38"/>
      <c r="H547" s="38"/>
      <c r="I547" s="38"/>
    </row>
    <row r="548" spans="7:9" ht="13.2">
      <c r="G548" s="38"/>
      <c r="H548" s="38"/>
      <c r="I548" s="38"/>
    </row>
    <row r="549" spans="7:9" ht="13.2">
      <c r="G549" s="38"/>
      <c r="H549" s="38"/>
      <c r="I549" s="38"/>
    </row>
    <row r="550" spans="7:9" ht="13.2">
      <c r="G550" s="38"/>
      <c r="H550" s="38"/>
      <c r="I550" s="38"/>
    </row>
    <row r="551" spans="7:9" ht="13.2">
      <c r="G551" s="38"/>
      <c r="H551" s="38"/>
      <c r="I551" s="38"/>
    </row>
    <row r="552" spans="7:9" ht="13.2">
      <c r="G552" s="38"/>
      <c r="H552" s="38"/>
      <c r="I552" s="38"/>
    </row>
    <row r="553" spans="7:9" ht="13.2">
      <c r="G553" s="38"/>
      <c r="H553" s="38"/>
      <c r="I553" s="38"/>
    </row>
    <row r="554" spans="7:9" ht="13.2">
      <c r="G554" s="38"/>
      <c r="H554" s="38"/>
      <c r="I554" s="38"/>
    </row>
    <row r="555" spans="7:9" ht="13.2">
      <c r="G555" s="38"/>
      <c r="H555" s="38"/>
      <c r="I555" s="38"/>
    </row>
    <row r="556" spans="7:9" ht="13.2">
      <c r="G556" s="38"/>
      <c r="H556" s="38"/>
      <c r="I556" s="38"/>
    </row>
    <row r="557" spans="7:9" ht="13.2">
      <c r="G557" s="38"/>
      <c r="H557" s="38"/>
      <c r="I557" s="38"/>
    </row>
    <row r="558" spans="7:9" ht="13.2">
      <c r="G558" s="38"/>
      <c r="H558" s="38"/>
      <c r="I558" s="38"/>
    </row>
    <row r="559" spans="7:9" ht="13.2">
      <c r="G559" s="38"/>
      <c r="H559" s="38"/>
      <c r="I559" s="38"/>
    </row>
    <row r="560" spans="7:9" ht="13.2">
      <c r="G560" s="38"/>
      <c r="H560" s="38"/>
      <c r="I560" s="38"/>
    </row>
    <row r="561" spans="7:9" ht="13.2">
      <c r="G561" s="38"/>
      <c r="H561" s="38"/>
      <c r="I561" s="38"/>
    </row>
    <row r="562" spans="7:9" ht="13.2">
      <c r="G562" s="38"/>
      <c r="H562" s="38"/>
      <c r="I562" s="38"/>
    </row>
    <row r="563" spans="7:9" ht="13.2">
      <c r="G563" s="38"/>
      <c r="H563" s="38"/>
      <c r="I563" s="38"/>
    </row>
    <row r="564" spans="7:9" ht="13.2">
      <c r="G564" s="38"/>
      <c r="H564" s="38"/>
      <c r="I564" s="38"/>
    </row>
    <row r="565" spans="7:9" ht="13.2">
      <c r="G565" s="38"/>
      <c r="H565" s="38"/>
      <c r="I565" s="38"/>
    </row>
    <row r="566" spans="7:9" ht="13.2">
      <c r="G566" s="38"/>
      <c r="H566" s="38"/>
      <c r="I566" s="38"/>
    </row>
    <row r="567" spans="7:9" ht="13.2">
      <c r="G567" s="38"/>
      <c r="H567" s="38"/>
      <c r="I567" s="38"/>
    </row>
    <row r="568" spans="7:9" ht="13.2">
      <c r="G568" s="38"/>
      <c r="H568" s="38"/>
      <c r="I568" s="38"/>
    </row>
    <row r="569" spans="7:9" ht="13.2">
      <c r="G569" s="38"/>
      <c r="H569" s="38"/>
      <c r="I569" s="38"/>
    </row>
    <row r="570" spans="7:9" ht="13.2">
      <c r="G570" s="38"/>
      <c r="H570" s="38"/>
      <c r="I570" s="38"/>
    </row>
    <row r="571" spans="7:9" ht="13.2">
      <c r="G571" s="38"/>
      <c r="H571" s="38"/>
      <c r="I571" s="38"/>
    </row>
    <row r="572" spans="7:9" ht="13.2">
      <c r="G572" s="38"/>
      <c r="H572" s="38"/>
      <c r="I572" s="38"/>
    </row>
    <row r="573" spans="7:9" ht="13.2">
      <c r="G573" s="38"/>
      <c r="H573" s="38"/>
      <c r="I573" s="38"/>
    </row>
    <row r="574" spans="7:9" ht="13.2">
      <c r="G574" s="38"/>
      <c r="H574" s="38"/>
      <c r="I574" s="38"/>
    </row>
    <row r="575" spans="7:9" ht="13.2">
      <c r="G575" s="38"/>
      <c r="H575" s="38"/>
      <c r="I575" s="38"/>
    </row>
    <row r="576" spans="7:9" ht="13.2">
      <c r="G576" s="38"/>
      <c r="H576" s="38"/>
      <c r="I576" s="38"/>
    </row>
    <row r="577" spans="7:9" ht="13.2">
      <c r="G577" s="38"/>
      <c r="H577" s="38"/>
      <c r="I577" s="38"/>
    </row>
    <row r="578" spans="7:9" ht="13.2">
      <c r="G578" s="38"/>
      <c r="H578" s="38"/>
      <c r="I578" s="38"/>
    </row>
    <row r="579" spans="7:9" ht="13.2">
      <c r="G579" s="38"/>
      <c r="H579" s="38"/>
      <c r="I579" s="38"/>
    </row>
    <row r="580" spans="7:9" ht="13.2">
      <c r="G580" s="38"/>
      <c r="H580" s="38"/>
      <c r="I580" s="38"/>
    </row>
    <row r="581" spans="7:9" ht="13.2">
      <c r="G581" s="38"/>
      <c r="H581" s="38"/>
      <c r="I581" s="38"/>
    </row>
    <row r="582" spans="7:9" ht="13.2">
      <c r="G582" s="38"/>
      <c r="H582" s="38"/>
      <c r="I582" s="38"/>
    </row>
    <row r="583" spans="7:9" ht="13.2">
      <c r="G583" s="38"/>
      <c r="H583" s="38"/>
      <c r="I583" s="38"/>
    </row>
    <row r="584" spans="7:9" ht="13.2">
      <c r="G584" s="38"/>
      <c r="H584" s="38"/>
      <c r="I584" s="38"/>
    </row>
    <row r="585" spans="7:9" ht="13.2">
      <c r="G585" s="38"/>
      <c r="H585" s="38"/>
      <c r="I585" s="38"/>
    </row>
    <row r="586" spans="7:9" ht="13.2">
      <c r="G586" s="38"/>
      <c r="H586" s="38"/>
      <c r="I586" s="38"/>
    </row>
    <row r="587" spans="7:9" ht="13.2">
      <c r="G587" s="38"/>
      <c r="H587" s="38"/>
      <c r="I587" s="38"/>
    </row>
    <row r="588" spans="7:9" ht="13.2">
      <c r="G588" s="38"/>
      <c r="H588" s="38"/>
      <c r="I588" s="38"/>
    </row>
    <row r="589" spans="7:9" ht="13.2">
      <c r="G589" s="38"/>
      <c r="H589" s="38"/>
      <c r="I589" s="38"/>
    </row>
    <row r="590" spans="7:9" ht="13.2">
      <c r="G590" s="38"/>
      <c r="H590" s="38"/>
      <c r="I590" s="38"/>
    </row>
    <row r="591" spans="7:9" ht="13.2">
      <c r="G591" s="38"/>
      <c r="H591" s="38"/>
      <c r="I591" s="38"/>
    </row>
    <row r="592" spans="7:9" ht="13.2">
      <c r="G592" s="38"/>
      <c r="H592" s="38"/>
      <c r="I592" s="38"/>
    </row>
    <row r="593" spans="7:9" ht="13.2">
      <c r="G593" s="38"/>
      <c r="H593" s="38"/>
      <c r="I593" s="38"/>
    </row>
    <row r="594" spans="7:9" ht="13.2">
      <c r="G594" s="38"/>
      <c r="H594" s="38"/>
      <c r="I594" s="38"/>
    </row>
    <row r="595" spans="7:9" ht="13.2">
      <c r="G595" s="38"/>
      <c r="H595" s="38"/>
      <c r="I595" s="38"/>
    </row>
    <row r="596" spans="7:9" ht="13.2">
      <c r="G596" s="38"/>
      <c r="H596" s="38"/>
      <c r="I596" s="38"/>
    </row>
    <row r="597" spans="7:9" ht="13.2">
      <c r="G597" s="38"/>
      <c r="H597" s="38"/>
      <c r="I597" s="38"/>
    </row>
    <row r="598" spans="7:9" ht="13.2">
      <c r="G598" s="38"/>
      <c r="H598" s="38"/>
      <c r="I598" s="38"/>
    </row>
    <row r="599" spans="7:9" ht="13.2">
      <c r="G599" s="38"/>
      <c r="H599" s="38"/>
      <c r="I599" s="38"/>
    </row>
    <row r="600" spans="7:9" ht="13.2">
      <c r="G600" s="38"/>
      <c r="H600" s="38"/>
      <c r="I600" s="38"/>
    </row>
    <row r="601" spans="7:9" ht="13.2">
      <c r="G601" s="38"/>
      <c r="H601" s="38"/>
      <c r="I601" s="38"/>
    </row>
    <row r="602" spans="7:9" ht="13.2">
      <c r="G602" s="38"/>
      <c r="H602" s="38"/>
      <c r="I602" s="38"/>
    </row>
    <row r="603" spans="7:9" ht="13.2">
      <c r="G603" s="38"/>
      <c r="H603" s="38"/>
      <c r="I603" s="38"/>
    </row>
    <row r="604" spans="7:9" ht="13.2">
      <c r="G604" s="38"/>
      <c r="H604" s="38"/>
      <c r="I604" s="38"/>
    </row>
    <row r="605" spans="7:9" ht="13.2">
      <c r="G605" s="38"/>
      <c r="H605" s="38"/>
      <c r="I605" s="38"/>
    </row>
    <row r="606" spans="7:9" ht="13.2">
      <c r="G606" s="38"/>
      <c r="H606" s="38"/>
      <c r="I606" s="38"/>
    </row>
    <row r="607" spans="7:9" ht="13.2">
      <c r="G607" s="38"/>
      <c r="H607" s="38"/>
      <c r="I607" s="38"/>
    </row>
    <row r="608" spans="7:9" ht="13.2">
      <c r="G608" s="38"/>
      <c r="H608" s="38"/>
      <c r="I608" s="38"/>
    </row>
    <row r="609" spans="7:9" ht="13.2">
      <c r="G609" s="38"/>
      <c r="H609" s="38"/>
      <c r="I609" s="38"/>
    </row>
    <row r="610" spans="7:9" ht="13.2">
      <c r="G610" s="38"/>
      <c r="H610" s="38"/>
      <c r="I610" s="38"/>
    </row>
    <row r="611" spans="7:9" ht="13.2">
      <c r="G611" s="38"/>
      <c r="H611" s="38"/>
      <c r="I611" s="38"/>
    </row>
    <row r="612" spans="7:9" ht="13.2">
      <c r="G612" s="38"/>
      <c r="H612" s="38"/>
      <c r="I612" s="38"/>
    </row>
    <row r="613" spans="7:9" ht="13.2">
      <c r="G613" s="38"/>
      <c r="H613" s="38"/>
      <c r="I613" s="38"/>
    </row>
    <row r="614" spans="7:9" ht="13.2">
      <c r="G614" s="38"/>
      <c r="H614" s="38"/>
      <c r="I614" s="38"/>
    </row>
    <row r="615" spans="7:9" ht="13.2">
      <c r="G615" s="38"/>
      <c r="H615" s="38"/>
      <c r="I615" s="38"/>
    </row>
    <row r="616" spans="7:9" ht="13.2">
      <c r="G616" s="38"/>
      <c r="H616" s="38"/>
      <c r="I616" s="38"/>
    </row>
    <row r="617" spans="7:9" ht="13.2">
      <c r="G617" s="38"/>
      <c r="H617" s="38"/>
      <c r="I617" s="38"/>
    </row>
    <row r="618" spans="7:9" ht="13.2">
      <c r="G618" s="38"/>
      <c r="H618" s="38"/>
      <c r="I618" s="38"/>
    </row>
    <row r="619" spans="7:9" ht="13.2">
      <c r="G619" s="38"/>
      <c r="H619" s="38"/>
      <c r="I619" s="38"/>
    </row>
    <row r="620" spans="7:9" ht="13.2">
      <c r="G620" s="38"/>
      <c r="H620" s="38"/>
      <c r="I620" s="38"/>
    </row>
    <row r="621" spans="7:9" ht="13.2">
      <c r="G621" s="38"/>
      <c r="H621" s="38"/>
      <c r="I621" s="38"/>
    </row>
    <row r="622" spans="7:9" ht="13.2">
      <c r="G622" s="38"/>
      <c r="H622" s="38"/>
      <c r="I622" s="38"/>
    </row>
    <row r="623" spans="7:9" ht="13.2">
      <c r="G623" s="38"/>
      <c r="H623" s="38"/>
      <c r="I623" s="38"/>
    </row>
    <row r="624" spans="7:9" ht="13.2">
      <c r="G624" s="38"/>
      <c r="H624" s="38"/>
      <c r="I624" s="38"/>
    </row>
    <row r="625" spans="7:9" ht="13.2">
      <c r="G625" s="38"/>
      <c r="H625" s="38"/>
      <c r="I625" s="38"/>
    </row>
    <row r="626" spans="7:9" ht="13.2">
      <c r="G626" s="38"/>
      <c r="H626" s="38"/>
      <c r="I626" s="38"/>
    </row>
    <row r="627" spans="7:9" ht="13.2">
      <c r="G627" s="38"/>
      <c r="H627" s="38"/>
      <c r="I627" s="38"/>
    </row>
    <row r="628" spans="7:9" ht="13.2">
      <c r="G628" s="38"/>
      <c r="H628" s="38"/>
      <c r="I628" s="38"/>
    </row>
    <row r="629" spans="7:9" ht="13.2">
      <c r="G629" s="38"/>
      <c r="H629" s="38"/>
      <c r="I629" s="38"/>
    </row>
    <row r="630" spans="7:9" ht="13.2">
      <c r="G630" s="38"/>
      <c r="H630" s="38"/>
      <c r="I630" s="38"/>
    </row>
    <row r="631" spans="7:9" ht="13.2">
      <c r="G631" s="38"/>
      <c r="H631" s="38"/>
      <c r="I631" s="38"/>
    </row>
    <row r="632" spans="7:9" ht="13.2">
      <c r="G632" s="38"/>
      <c r="H632" s="38"/>
      <c r="I632" s="38"/>
    </row>
    <row r="633" spans="7:9" ht="13.2">
      <c r="G633" s="38"/>
      <c r="H633" s="38"/>
      <c r="I633" s="38"/>
    </row>
    <row r="634" spans="7:9" ht="13.2">
      <c r="G634" s="38"/>
      <c r="H634" s="38"/>
      <c r="I634" s="38"/>
    </row>
    <row r="635" spans="7:9" ht="13.2">
      <c r="G635" s="38"/>
      <c r="H635" s="38"/>
      <c r="I635" s="38"/>
    </row>
    <row r="636" spans="7:9" ht="13.2">
      <c r="G636" s="38"/>
      <c r="H636" s="38"/>
      <c r="I636" s="38"/>
    </row>
    <row r="637" spans="7:9" ht="13.2">
      <c r="G637" s="38"/>
      <c r="H637" s="38"/>
      <c r="I637" s="38"/>
    </row>
    <row r="638" spans="7:9" ht="13.2">
      <c r="G638" s="38"/>
      <c r="H638" s="38"/>
      <c r="I638" s="38"/>
    </row>
    <row r="639" spans="7:9" ht="13.2">
      <c r="G639" s="38"/>
      <c r="H639" s="38"/>
      <c r="I639" s="38"/>
    </row>
    <row r="640" spans="7:9" ht="13.2">
      <c r="G640" s="38"/>
      <c r="H640" s="38"/>
      <c r="I640" s="38"/>
    </row>
    <row r="641" spans="7:9" ht="13.2">
      <c r="G641" s="38"/>
      <c r="H641" s="38"/>
      <c r="I641" s="38"/>
    </row>
    <row r="642" spans="7:9" ht="13.2">
      <c r="G642" s="38"/>
      <c r="H642" s="38"/>
      <c r="I642" s="38"/>
    </row>
    <row r="643" spans="7:9" ht="13.2">
      <c r="G643" s="38"/>
      <c r="H643" s="38"/>
      <c r="I643" s="38"/>
    </row>
    <row r="644" spans="7:9" ht="13.2">
      <c r="G644" s="38"/>
      <c r="H644" s="38"/>
      <c r="I644" s="38"/>
    </row>
    <row r="645" spans="7:9" ht="13.2">
      <c r="G645" s="38"/>
      <c r="H645" s="38"/>
      <c r="I645" s="38"/>
    </row>
    <row r="646" spans="7:9" ht="13.2">
      <c r="G646" s="38"/>
      <c r="H646" s="38"/>
      <c r="I646" s="38"/>
    </row>
    <row r="647" spans="7:9" ht="13.2">
      <c r="G647" s="38"/>
      <c r="H647" s="38"/>
      <c r="I647" s="38"/>
    </row>
    <row r="648" spans="7:9" ht="13.2">
      <c r="G648" s="38"/>
      <c r="H648" s="38"/>
      <c r="I648" s="38"/>
    </row>
    <row r="649" spans="7:9" ht="13.2">
      <c r="G649" s="38"/>
      <c r="H649" s="38"/>
      <c r="I649" s="38"/>
    </row>
    <row r="650" spans="7:9" ht="13.2">
      <c r="G650" s="38"/>
      <c r="H650" s="38"/>
      <c r="I650" s="38"/>
    </row>
    <row r="651" spans="7:9" ht="13.2">
      <c r="G651" s="38"/>
      <c r="H651" s="38"/>
      <c r="I651" s="38"/>
    </row>
    <row r="652" spans="7:9" ht="13.2">
      <c r="G652" s="38"/>
      <c r="H652" s="38"/>
      <c r="I652" s="38"/>
    </row>
    <row r="653" spans="7:9" ht="13.2">
      <c r="G653" s="38"/>
      <c r="H653" s="38"/>
      <c r="I653" s="38"/>
    </row>
    <row r="654" spans="7:9" ht="13.2">
      <c r="G654" s="38"/>
      <c r="H654" s="38"/>
      <c r="I654" s="38"/>
    </row>
    <row r="655" spans="7:9" ht="13.2">
      <c r="G655" s="38"/>
      <c r="H655" s="38"/>
      <c r="I655" s="38"/>
    </row>
    <row r="656" spans="7:9" ht="13.2">
      <c r="G656" s="38"/>
      <c r="H656" s="38"/>
      <c r="I656" s="38"/>
    </row>
    <row r="657" spans="7:9" ht="13.2">
      <c r="G657" s="38"/>
      <c r="H657" s="38"/>
      <c r="I657" s="38"/>
    </row>
    <row r="658" spans="7:9" ht="13.2">
      <c r="G658" s="38"/>
      <c r="H658" s="38"/>
      <c r="I658" s="38"/>
    </row>
    <row r="659" spans="7:9" ht="13.2">
      <c r="G659" s="38"/>
      <c r="H659" s="38"/>
      <c r="I659" s="38"/>
    </row>
    <row r="660" spans="7:9" ht="13.2">
      <c r="G660" s="38"/>
      <c r="H660" s="38"/>
      <c r="I660" s="38"/>
    </row>
    <row r="661" spans="7:9" ht="13.2">
      <c r="G661" s="38"/>
      <c r="H661" s="38"/>
      <c r="I661" s="38"/>
    </row>
    <row r="662" spans="7:9" ht="13.2">
      <c r="G662" s="38"/>
      <c r="H662" s="38"/>
      <c r="I662" s="38"/>
    </row>
    <row r="663" spans="7:9" ht="13.2">
      <c r="G663" s="38"/>
      <c r="H663" s="38"/>
      <c r="I663" s="38"/>
    </row>
    <row r="664" spans="7:9" ht="13.2">
      <c r="G664" s="38"/>
      <c r="H664" s="38"/>
      <c r="I664" s="38"/>
    </row>
    <row r="665" spans="7:9" ht="13.2">
      <c r="G665" s="38"/>
      <c r="H665" s="38"/>
      <c r="I665" s="38"/>
    </row>
    <row r="666" spans="7:9" ht="13.2">
      <c r="G666" s="38"/>
      <c r="H666" s="38"/>
      <c r="I666" s="38"/>
    </row>
    <row r="667" spans="7:9" ht="13.2">
      <c r="G667" s="38"/>
      <c r="H667" s="38"/>
      <c r="I667" s="38"/>
    </row>
    <row r="668" spans="7:9" ht="13.2">
      <c r="G668" s="38"/>
      <c r="H668" s="38"/>
      <c r="I668" s="38"/>
    </row>
    <row r="669" spans="7:9" ht="13.2">
      <c r="G669" s="38"/>
      <c r="H669" s="38"/>
      <c r="I669" s="38"/>
    </row>
    <row r="670" spans="7:9" ht="13.2">
      <c r="G670" s="38"/>
      <c r="H670" s="38"/>
      <c r="I670" s="38"/>
    </row>
    <row r="671" spans="7:9" ht="13.2">
      <c r="G671" s="38"/>
      <c r="H671" s="38"/>
      <c r="I671" s="38"/>
    </row>
    <row r="672" spans="7:9" ht="13.2">
      <c r="G672" s="38"/>
      <c r="H672" s="38"/>
      <c r="I672" s="38"/>
    </row>
    <row r="673" spans="7:9" ht="13.2">
      <c r="G673" s="38"/>
      <c r="H673" s="38"/>
      <c r="I673" s="38"/>
    </row>
    <row r="674" spans="7:9" ht="13.2">
      <c r="G674" s="38"/>
      <c r="H674" s="38"/>
      <c r="I674" s="38"/>
    </row>
    <row r="675" spans="7:9" ht="13.2">
      <c r="G675" s="38"/>
      <c r="H675" s="38"/>
      <c r="I675" s="38"/>
    </row>
    <row r="676" spans="7:9" ht="13.2">
      <c r="G676" s="38"/>
      <c r="H676" s="38"/>
      <c r="I676" s="38"/>
    </row>
    <row r="677" spans="7:9" ht="13.2">
      <c r="G677" s="38"/>
      <c r="H677" s="38"/>
      <c r="I677" s="38"/>
    </row>
    <row r="678" spans="7:9" ht="13.2">
      <c r="G678" s="38"/>
      <c r="H678" s="38"/>
      <c r="I678" s="38"/>
    </row>
    <row r="679" spans="7:9" ht="13.2">
      <c r="G679" s="38"/>
      <c r="H679" s="38"/>
      <c r="I679" s="38"/>
    </row>
    <row r="680" spans="7:9" ht="13.2">
      <c r="G680" s="38"/>
      <c r="H680" s="38"/>
      <c r="I680" s="38"/>
    </row>
    <row r="681" spans="7:9" ht="13.2">
      <c r="G681" s="38"/>
      <c r="H681" s="38"/>
      <c r="I681" s="38"/>
    </row>
    <row r="682" spans="7:9" ht="13.2">
      <c r="G682" s="38"/>
      <c r="H682" s="38"/>
      <c r="I682" s="38"/>
    </row>
    <row r="683" spans="7:9" ht="13.2">
      <c r="G683" s="38"/>
      <c r="H683" s="38"/>
      <c r="I683" s="38"/>
    </row>
    <row r="684" spans="7:9" ht="13.2">
      <c r="G684" s="38"/>
      <c r="H684" s="38"/>
      <c r="I684" s="38"/>
    </row>
    <row r="685" spans="7:9" ht="13.2">
      <c r="G685" s="38"/>
      <c r="H685" s="38"/>
      <c r="I685" s="38"/>
    </row>
    <row r="686" spans="7:9" ht="13.2">
      <c r="G686" s="38"/>
      <c r="H686" s="38"/>
      <c r="I686" s="38"/>
    </row>
    <row r="687" spans="7:9" ht="13.2">
      <c r="G687" s="38"/>
      <c r="H687" s="38"/>
      <c r="I687" s="38"/>
    </row>
    <row r="688" spans="7:9" ht="13.2">
      <c r="G688" s="38"/>
      <c r="H688" s="38"/>
      <c r="I688" s="38"/>
    </row>
    <row r="689" spans="7:9" ht="13.2">
      <c r="G689" s="38"/>
      <c r="H689" s="38"/>
      <c r="I689" s="38"/>
    </row>
    <row r="690" spans="7:9" ht="13.2">
      <c r="G690" s="38"/>
      <c r="H690" s="38"/>
      <c r="I690" s="38"/>
    </row>
    <row r="691" spans="7:9" ht="13.2">
      <c r="G691" s="38"/>
      <c r="H691" s="38"/>
      <c r="I691" s="38"/>
    </row>
    <row r="692" spans="7:9" ht="13.2">
      <c r="G692" s="38"/>
      <c r="H692" s="38"/>
      <c r="I692" s="38"/>
    </row>
    <row r="693" spans="7:9" ht="13.2">
      <c r="G693" s="38"/>
      <c r="H693" s="38"/>
      <c r="I693" s="38"/>
    </row>
    <row r="694" spans="7:9" ht="13.2">
      <c r="G694" s="38"/>
      <c r="H694" s="38"/>
      <c r="I694" s="38"/>
    </row>
    <row r="695" spans="7:9" ht="13.2">
      <c r="G695" s="38"/>
      <c r="H695" s="38"/>
      <c r="I695" s="38"/>
    </row>
    <row r="696" spans="7:9" ht="13.2">
      <c r="G696" s="38"/>
      <c r="H696" s="38"/>
      <c r="I696" s="38"/>
    </row>
    <row r="697" spans="7:9" ht="13.2">
      <c r="G697" s="38"/>
      <c r="H697" s="38"/>
      <c r="I697" s="38"/>
    </row>
    <row r="698" spans="7:9" ht="13.2">
      <c r="G698" s="38"/>
      <c r="H698" s="38"/>
      <c r="I698" s="38"/>
    </row>
    <row r="699" spans="7:9" ht="13.2">
      <c r="G699" s="38"/>
      <c r="H699" s="38"/>
      <c r="I699" s="38"/>
    </row>
    <row r="700" spans="7:9" ht="13.2">
      <c r="G700" s="38"/>
      <c r="H700" s="38"/>
      <c r="I700" s="38"/>
    </row>
    <row r="701" spans="7:9" ht="13.2">
      <c r="G701" s="38"/>
      <c r="H701" s="38"/>
      <c r="I701" s="38"/>
    </row>
    <row r="702" spans="7:9" ht="13.2">
      <c r="G702" s="38"/>
      <c r="H702" s="38"/>
      <c r="I702" s="38"/>
    </row>
    <row r="703" spans="7:9" ht="13.2">
      <c r="G703" s="38"/>
      <c r="H703" s="38"/>
      <c r="I703" s="38"/>
    </row>
    <row r="704" spans="7:9" ht="13.2">
      <c r="G704" s="38"/>
      <c r="H704" s="38"/>
      <c r="I704" s="38"/>
    </row>
    <row r="705" spans="7:9" ht="13.2">
      <c r="G705" s="38"/>
      <c r="H705" s="38"/>
      <c r="I705" s="38"/>
    </row>
    <row r="706" spans="7:9" ht="13.2">
      <c r="G706" s="38"/>
      <c r="H706" s="38"/>
      <c r="I706" s="38"/>
    </row>
    <row r="707" spans="7:9" ht="13.2">
      <c r="G707" s="38"/>
      <c r="H707" s="38"/>
      <c r="I707" s="38"/>
    </row>
    <row r="708" spans="7:9" ht="13.2">
      <c r="G708" s="38"/>
      <c r="H708" s="38"/>
      <c r="I708" s="38"/>
    </row>
    <row r="709" spans="7:9" ht="13.2">
      <c r="G709" s="38"/>
      <c r="H709" s="38"/>
      <c r="I709" s="38"/>
    </row>
    <row r="710" spans="7:9" ht="13.2">
      <c r="G710" s="38"/>
      <c r="H710" s="38"/>
      <c r="I710" s="38"/>
    </row>
    <row r="711" spans="7:9" ht="13.2">
      <c r="G711" s="38"/>
      <c r="H711" s="38"/>
      <c r="I711" s="38"/>
    </row>
    <row r="712" spans="7:9" ht="13.2">
      <c r="G712" s="38"/>
      <c r="H712" s="38"/>
      <c r="I712" s="38"/>
    </row>
    <row r="713" spans="7:9" ht="13.2">
      <c r="G713" s="38"/>
      <c r="H713" s="38"/>
      <c r="I713" s="38"/>
    </row>
    <row r="714" spans="7:9" ht="13.2">
      <c r="G714" s="38"/>
      <c r="H714" s="38"/>
      <c r="I714" s="38"/>
    </row>
    <row r="715" spans="7:9" ht="13.2">
      <c r="G715" s="38"/>
      <c r="H715" s="38"/>
      <c r="I715" s="38"/>
    </row>
    <row r="716" spans="7:9" ht="13.2">
      <c r="G716" s="38"/>
      <c r="H716" s="38"/>
      <c r="I716" s="38"/>
    </row>
    <row r="717" spans="7:9" ht="13.2">
      <c r="G717" s="38"/>
      <c r="H717" s="38"/>
      <c r="I717" s="38"/>
    </row>
    <row r="718" spans="7:9" ht="13.2">
      <c r="G718" s="38"/>
      <c r="H718" s="38"/>
      <c r="I718" s="38"/>
    </row>
    <row r="719" spans="7:9" ht="13.2">
      <c r="G719" s="38"/>
      <c r="H719" s="38"/>
      <c r="I719" s="38"/>
    </row>
    <row r="720" spans="7:9" ht="13.2">
      <c r="G720" s="38"/>
      <c r="H720" s="38"/>
      <c r="I720" s="38"/>
    </row>
    <row r="721" spans="7:9" ht="13.2">
      <c r="G721" s="38"/>
      <c r="H721" s="38"/>
      <c r="I721" s="38"/>
    </row>
    <row r="722" spans="7:9" ht="13.2">
      <c r="G722" s="38"/>
      <c r="H722" s="38"/>
      <c r="I722" s="38"/>
    </row>
    <row r="723" spans="7:9" ht="13.2">
      <c r="G723" s="38"/>
      <c r="H723" s="38"/>
      <c r="I723" s="38"/>
    </row>
    <row r="724" spans="7:9" ht="13.2">
      <c r="G724" s="38"/>
      <c r="H724" s="38"/>
      <c r="I724" s="38"/>
    </row>
    <row r="725" spans="7:9" ht="13.2">
      <c r="G725" s="38"/>
      <c r="H725" s="38"/>
      <c r="I725" s="38"/>
    </row>
    <row r="726" spans="7:9" ht="13.2">
      <c r="G726" s="38"/>
      <c r="H726" s="38"/>
      <c r="I726" s="38"/>
    </row>
    <row r="727" spans="7:9" ht="13.2">
      <c r="G727" s="38"/>
      <c r="H727" s="38"/>
      <c r="I727" s="38"/>
    </row>
    <row r="728" spans="7:9" ht="13.2">
      <c r="G728" s="38"/>
      <c r="H728" s="38"/>
      <c r="I728" s="38"/>
    </row>
    <row r="729" spans="7:9" ht="13.2">
      <c r="G729" s="38"/>
      <c r="H729" s="38"/>
      <c r="I729" s="38"/>
    </row>
    <row r="730" spans="7:9" ht="13.2">
      <c r="G730" s="38"/>
      <c r="H730" s="38"/>
      <c r="I730" s="38"/>
    </row>
    <row r="731" spans="7:9" ht="13.2">
      <c r="G731" s="38"/>
      <c r="H731" s="38"/>
      <c r="I731" s="38"/>
    </row>
    <row r="732" spans="7:9" ht="13.2">
      <c r="G732" s="38"/>
      <c r="H732" s="38"/>
      <c r="I732" s="38"/>
    </row>
    <row r="733" spans="7:9" ht="13.2">
      <c r="G733" s="38"/>
      <c r="H733" s="38"/>
      <c r="I733" s="38"/>
    </row>
    <row r="734" spans="7:9" ht="13.2">
      <c r="G734" s="38"/>
      <c r="H734" s="38"/>
      <c r="I734" s="38"/>
    </row>
    <row r="735" spans="7:9" ht="13.2">
      <c r="G735" s="38"/>
      <c r="H735" s="38"/>
      <c r="I735" s="38"/>
    </row>
    <row r="736" spans="7:9" ht="13.2">
      <c r="G736" s="38"/>
      <c r="H736" s="38"/>
      <c r="I736" s="38"/>
    </row>
    <row r="737" spans="7:9" ht="13.2">
      <c r="G737" s="38"/>
      <c r="H737" s="38"/>
      <c r="I737" s="38"/>
    </row>
    <row r="738" spans="7:9" ht="13.2">
      <c r="G738" s="38"/>
      <c r="H738" s="38"/>
      <c r="I738" s="38"/>
    </row>
    <row r="739" spans="7:9" ht="13.2">
      <c r="G739" s="38"/>
      <c r="H739" s="38"/>
      <c r="I739" s="38"/>
    </row>
    <row r="740" spans="7:9" ht="13.2">
      <c r="G740" s="38"/>
      <c r="H740" s="38"/>
      <c r="I740" s="38"/>
    </row>
    <row r="741" spans="7:9" ht="13.2">
      <c r="G741" s="38"/>
      <c r="H741" s="38"/>
      <c r="I741" s="38"/>
    </row>
    <row r="742" spans="7:9" ht="13.2">
      <c r="G742" s="38"/>
      <c r="H742" s="38"/>
      <c r="I742" s="38"/>
    </row>
    <row r="743" spans="7:9" ht="13.2">
      <c r="G743" s="38"/>
      <c r="H743" s="38"/>
      <c r="I743" s="38"/>
    </row>
    <row r="744" spans="7:9" ht="13.2">
      <c r="G744" s="38"/>
      <c r="H744" s="38"/>
      <c r="I744" s="38"/>
    </row>
    <row r="745" spans="7:9" ht="13.2">
      <c r="G745" s="38"/>
      <c r="H745" s="38"/>
      <c r="I745" s="38"/>
    </row>
    <row r="746" spans="7:9" ht="13.2">
      <c r="G746" s="38"/>
      <c r="H746" s="38"/>
      <c r="I746" s="38"/>
    </row>
    <row r="747" spans="7:9" ht="13.2">
      <c r="G747" s="38"/>
      <c r="H747" s="38"/>
      <c r="I747" s="38"/>
    </row>
    <row r="748" spans="7:9" ht="13.2">
      <c r="G748" s="38"/>
      <c r="H748" s="38"/>
      <c r="I748" s="38"/>
    </row>
    <row r="749" spans="7:9" ht="13.2">
      <c r="G749" s="38"/>
      <c r="H749" s="38"/>
      <c r="I749" s="38"/>
    </row>
    <row r="750" spans="7:9" ht="13.2">
      <c r="G750" s="38"/>
      <c r="H750" s="38"/>
      <c r="I750" s="38"/>
    </row>
    <row r="751" spans="7:9" ht="13.2">
      <c r="G751" s="38"/>
      <c r="H751" s="38"/>
      <c r="I751" s="38"/>
    </row>
    <row r="752" spans="7:9" ht="13.2">
      <c r="G752" s="38"/>
      <c r="H752" s="38"/>
      <c r="I752" s="38"/>
    </row>
    <row r="753" spans="7:9" ht="13.2">
      <c r="G753" s="38"/>
      <c r="H753" s="38"/>
      <c r="I753" s="38"/>
    </row>
    <row r="754" spans="7:9" ht="13.2">
      <c r="G754" s="38"/>
      <c r="H754" s="38"/>
      <c r="I754" s="38"/>
    </row>
    <row r="755" spans="7:9" ht="13.2">
      <c r="G755" s="38"/>
      <c r="H755" s="38"/>
      <c r="I755" s="38"/>
    </row>
    <row r="756" spans="7:9" ht="13.2">
      <c r="G756" s="38"/>
      <c r="H756" s="38"/>
      <c r="I756" s="38"/>
    </row>
    <row r="757" spans="7:9" ht="13.2">
      <c r="G757" s="38"/>
      <c r="H757" s="38"/>
      <c r="I757" s="38"/>
    </row>
    <row r="758" spans="7:9" ht="13.2">
      <c r="G758" s="38"/>
      <c r="H758" s="38"/>
      <c r="I758" s="38"/>
    </row>
    <row r="759" spans="7:9" ht="13.2">
      <c r="G759" s="38"/>
      <c r="H759" s="38"/>
      <c r="I759" s="38"/>
    </row>
    <row r="760" spans="7:9" ht="13.2">
      <c r="G760" s="38"/>
      <c r="H760" s="38"/>
      <c r="I760" s="38"/>
    </row>
    <row r="761" spans="7:9" ht="13.2">
      <c r="G761" s="38"/>
      <c r="H761" s="38"/>
      <c r="I761" s="38"/>
    </row>
    <row r="762" spans="7:9" ht="13.2">
      <c r="G762" s="38"/>
      <c r="H762" s="38"/>
      <c r="I762" s="38"/>
    </row>
    <row r="763" spans="7:9" ht="13.2">
      <c r="G763" s="38"/>
      <c r="H763" s="38"/>
      <c r="I763" s="38"/>
    </row>
    <row r="764" spans="7:9" ht="13.2">
      <c r="G764" s="38"/>
      <c r="H764" s="38"/>
      <c r="I764" s="38"/>
    </row>
    <row r="765" spans="7:9" ht="13.2">
      <c r="G765" s="38"/>
      <c r="H765" s="38"/>
      <c r="I765" s="38"/>
    </row>
    <row r="766" spans="7:9" ht="13.2">
      <c r="G766" s="38"/>
      <c r="H766" s="38"/>
      <c r="I766" s="38"/>
    </row>
    <row r="767" spans="7:9" ht="13.2">
      <c r="G767" s="38"/>
      <c r="H767" s="38"/>
      <c r="I767" s="38"/>
    </row>
    <row r="768" spans="7:9" ht="13.2">
      <c r="G768" s="38"/>
      <c r="H768" s="38"/>
      <c r="I768" s="38"/>
    </row>
    <row r="769" spans="7:9" ht="13.2">
      <c r="G769" s="38"/>
      <c r="H769" s="38"/>
      <c r="I769" s="38"/>
    </row>
    <row r="770" spans="7:9" ht="13.2">
      <c r="G770" s="38"/>
      <c r="H770" s="38"/>
      <c r="I770" s="38"/>
    </row>
    <row r="771" spans="7:9" ht="13.2">
      <c r="G771" s="38"/>
      <c r="H771" s="38"/>
      <c r="I771" s="38"/>
    </row>
    <row r="772" spans="7:9" ht="13.2">
      <c r="G772" s="38"/>
      <c r="H772" s="38"/>
      <c r="I772" s="38"/>
    </row>
    <row r="773" spans="7:9" ht="13.2">
      <c r="G773" s="38"/>
      <c r="H773" s="38"/>
      <c r="I773" s="38"/>
    </row>
    <row r="774" spans="7:9" ht="13.2">
      <c r="G774" s="38"/>
      <c r="H774" s="38"/>
      <c r="I774" s="38"/>
    </row>
    <row r="775" spans="7:9" ht="13.2">
      <c r="G775" s="38"/>
      <c r="H775" s="38"/>
      <c r="I775" s="38"/>
    </row>
    <row r="776" spans="7:9" ht="13.2">
      <c r="G776" s="38"/>
      <c r="H776" s="38"/>
      <c r="I776" s="38"/>
    </row>
    <row r="777" spans="7:9" ht="13.2">
      <c r="G777" s="38"/>
      <c r="H777" s="38"/>
      <c r="I777" s="38"/>
    </row>
    <row r="778" spans="7:9" ht="13.2">
      <c r="G778" s="38"/>
      <c r="H778" s="38"/>
      <c r="I778" s="38"/>
    </row>
    <row r="779" spans="7:9" ht="13.2">
      <c r="G779" s="38"/>
      <c r="H779" s="38"/>
      <c r="I779" s="38"/>
    </row>
    <row r="780" spans="7:9" ht="13.2">
      <c r="G780" s="38"/>
      <c r="H780" s="38"/>
      <c r="I780" s="38"/>
    </row>
    <row r="781" spans="7:9" ht="13.2">
      <c r="G781" s="38"/>
      <c r="H781" s="38"/>
      <c r="I781" s="38"/>
    </row>
    <row r="782" spans="7:9" ht="13.2">
      <c r="G782" s="38"/>
      <c r="H782" s="38"/>
      <c r="I782" s="38"/>
    </row>
    <row r="783" spans="7:9" ht="13.2">
      <c r="G783" s="38"/>
      <c r="H783" s="38"/>
      <c r="I783" s="38"/>
    </row>
    <row r="784" spans="7:9" ht="13.2">
      <c r="G784" s="38"/>
      <c r="H784" s="38"/>
      <c r="I784" s="38"/>
    </row>
    <row r="785" spans="7:9" ht="13.2">
      <c r="G785" s="38"/>
      <c r="H785" s="38"/>
      <c r="I785" s="38"/>
    </row>
    <row r="786" spans="7:9" ht="13.2">
      <c r="G786" s="38"/>
      <c r="H786" s="38"/>
      <c r="I786" s="38"/>
    </row>
    <row r="787" spans="7:9" ht="13.2">
      <c r="G787" s="38"/>
      <c r="H787" s="38"/>
      <c r="I787" s="38"/>
    </row>
    <row r="788" spans="7:9" ht="13.2">
      <c r="G788" s="38"/>
      <c r="H788" s="38"/>
      <c r="I788" s="38"/>
    </row>
    <row r="789" spans="7:9" ht="13.2">
      <c r="G789" s="38"/>
      <c r="H789" s="38"/>
      <c r="I789" s="38"/>
    </row>
    <row r="790" spans="7:9" ht="13.2">
      <c r="G790" s="38"/>
      <c r="H790" s="38"/>
      <c r="I790" s="38"/>
    </row>
    <row r="791" spans="7:9" ht="13.2">
      <c r="G791" s="38"/>
      <c r="H791" s="38"/>
      <c r="I791" s="38"/>
    </row>
    <row r="792" spans="7:9" ht="13.2">
      <c r="G792" s="38"/>
      <c r="H792" s="38"/>
      <c r="I792" s="38"/>
    </row>
    <row r="793" spans="7:9" ht="13.2">
      <c r="G793" s="38"/>
      <c r="H793" s="38"/>
      <c r="I793" s="38"/>
    </row>
    <row r="794" spans="7:9" ht="13.2">
      <c r="G794" s="38"/>
      <c r="H794" s="38"/>
      <c r="I794" s="38"/>
    </row>
    <row r="795" spans="7:9" ht="13.2">
      <c r="G795" s="38"/>
      <c r="H795" s="38"/>
      <c r="I795" s="38"/>
    </row>
    <row r="796" spans="7:9" ht="13.2">
      <c r="G796" s="38"/>
      <c r="H796" s="38"/>
      <c r="I796" s="38"/>
    </row>
    <row r="797" spans="7:9" ht="13.2">
      <c r="G797" s="38"/>
      <c r="H797" s="38"/>
      <c r="I797" s="38"/>
    </row>
    <row r="798" spans="7:9" ht="13.2">
      <c r="G798" s="38"/>
      <c r="H798" s="38"/>
      <c r="I798" s="38"/>
    </row>
    <row r="799" spans="7:9" ht="13.2">
      <c r="G799" s="38"/>
      <c r="H799" s="38"/>
      <c r="I799" s="38"/>
    </row>
    <row r="800" spans="7:9" ht="13.2">
      <c r="G800" s="38"/>
      <c r="H800" s="38"/>
      <c r="I800" s="38"/>
    </row>
    <row r="801" spans="7:9" ht="13.2">
      <c r="G801" s="38"/>
      <c r="H801" s="38"/>
      <c r="I801" s="38"/>
    </row>
    <row r="802" spans="7:9" ht="13.2">
      <c r="G802" s="38"/>
      <c r="H802" s="38"/>
      <c r="I802" s="38"/>
    </row>
    <row r="803" spans="7:9" ht="13.2">
      <c r="G803" s="38"/>
      <c r="H803" s="38"/>
      <c r="I803" s="38"/>
    </row>
    <row r="804" spans="7:9" ht="13.2">
      <c r="G804" s="38"/>
      <c r="H804" s="38"/>
      <c r="I804" s="38"/>
    </row>
    <row r="805" spans="7:9" ht="13.2">
      <c r="G805" s="38"/>
      <c r="H805" s="38"/>
      <c r="I805" s="38"/>
    </row>
    <row r="806" spans="7:9" ht="13.2">
      <c r="G806" s="38"/>
      <c r="H806" s="38"/>
      <c r="I806" s="38"/>
    </row>
    <row r="807" spans="7:9" ht="13.2">
      <c r="G807" s="38"/>
      <c r="H807" s="38"/>
      <c r="I807" s="38"/>
    </row>
    <row r="808" spans="7:9" ht="13.2">
      <c r="G808" s="38"/>
      <c r="H808" s="38"/>
      <c r="I808" s="38"/>
    </row>
    <row r="809" spans="7:9" ht="13.2">
      <c r="G809" s="38"/>
      <c r="H809" s="38"/>
      <c r="I809" s="38"/>
    </row>
    <row r="810" spans="7:9" ht="13.2">
      <c r="G810" s="38"/>
      <c r="H810" s="38"/>
      <c r="I810" s="38"/>
    </row>
    <row r="811" spans="7:9" ht="13.2">
      <c r="G811" s="38"/>
      <c r="H811" s="38"/>
      <c r="I811" s="38"/>
    </row>
    <row r="812" spans="7:9" ht="13.2">
      <c r="G812" s="38"/>
      <c r="H812" s="38"/>
      <c r="I812" s="38"/>
    </row>
    <row r="813" spans="7:9" ht="13.2">
      <c r="G813" s="38"/>
      <c r="H813" s="38"/>
      <c r="I813" s="38"/>
    </row>
    <row r="814" spans="7:9" ht="13.2">
      <c r="G814" s="38"/>
      <c r="H814" s="38"/>
      <c r="I814" s="38"/>
    </row>
    <row r="815" spans="7:9" ht="13.2">
      <c r="G815" s="38"/>
      <c r="H815" s="38"/>
      <c r="I815" s="38"/>
    </row>
    <row r="816" spans="7:9" ht="13.2">
      <c r="G816" s="38"/>
      <c r="H816" s="38"/>
      <c r="I816" s="38"/>
    </row>
    <row r="817" spans="7:9" ht="13.2">
      <c r="G817" s="38"/>
      <c r="H817" s="38"/>
      <c r="I817" s="38"/>
    </row>
    <row r="818" spans="7:9" ht="13.2">
      <c r="G818" s="38"/>
      <c r="H818" s="38"/>
      <c r="I818" s="38"/>
    </row>
    <row r="819" spans="7:9" ht="13.2">
      <c r="G819" s="38"/>
      <c r="H819" s="38"/>
      <c r="I819" s="38"/>
    </row>
    <row r="820" spans="7:9" ht="13.2">
      <c r="G820" s="38"/>
      <c r="H820" s="38"/>
      <c r="I820" s="38"/>
    </row>
    <row r="821" spans="7:9" ht="13.2">
      <c r="G821" s="38"/>
      <c r="H821" s="38"/>
      <c r="I821" s="38"/>
    </row>
    <row r="822" spans="7:9" ht="13.2">
      <c r="G822" s="38"/>
      <c r="H822" s="38"/>
      <c r="I822" s="38"/>
    </row>
    <row r="823" spans="7:9" ht="13.2">
      <c r="G823" s="38"/>
      <c r="H823" s="38"/>
      <c r="I823" s="38"/>
    </row>
    <row r="824" spans="7:9" ht="13.2">
      <c r="G824" s="38"/>
      <c r="H824" s="38"/>
      <c r="I824" s="38"/>
    </row>
    <row r="825" spans="7:9" ht="13.2">
      <c r="G825" s="38"/>
      <c r="H825" s="38"/>
      <c r="I825" s="38"/>
    </row>
    <row r="826" spans="7:9" ht="13.2">
      <c r="G826" s="38"/>
      <c r="H826" s="38"/>
      <c r="I826" s="38"/>
    </row>
    <row r="827" spans="7:9" ht="13.2">
      <c r="G827" s="38"/>
      <c r="H827" s="38"/>
      <c r="I827" s="38"/>
    </row>
    <row r="828" spans="7:9" ht="13.2">
      <c r="G828" s="38"/>
      <c r="H828" s="38"/>
      <c r="I828" s="38"/>
    </row>
    <row r="829" spans="7:9" ht="13.2">
      <c r="G829" s="38"/>
      <c r="H829" s="38"/>
      <c r="I829" s="38"/>
    </row>
    <row r="830" spans="7:9" ht="13.2">
      <c r="G830" s="38"/>
      <c r="H830" s="38"/>
      <c r="I830" s="38"/>
    </row>
    <row r="831" spans="7:9" ht="13.2">
      <c r="G831" s="38"/>
      <c r="H831" s="38"/>
      <c r="I831" s="38"/>
    </row>
    <row r="832" spans="7:9" ht="13.2">
      <c r="G832" s="38"/>
      <c r="H832" s="38"/>
      <c r="I832" s="38"/>
    </row>
    <row r="833" spans="7:9" ht="13.2">
      <c r="G833" s="38"/>
      <c r="H833" s="38"/>
      <c r="I833" s="38"/>
    </row>
    <row r="834" spans="7:9" ht="13.2">
      <c r="G834" s="38"/>
      <c r="H834" s="38"/>
      <c r="I834" s="38"/>
    </row>
    <row r="835" spans="7:9" ht="13.2">
      <c r="G835" s="38"/>
      <c r="H835" s="38"/>
      <c r="I835" s="38"/>
    </row>
    <row r="836" spans="7:9" ht="13.2">
      <c r="G836" s="38"/>
      <c r="H836" s="38"/>
      <c r="I836" s="38"/>
    </row>
    <row r="837" spans="7:9" ht="13.2">
      <c r="G837" s="38"/>
      <c r="H837" s="38"/>
      <c r="I837" s="38"/>
    </row>
    <row r="838" spans="7:9" ht="13.2">
      <c r="G838" s="38"/>
      <c r="H838" s="38"/>
      <c r="I838" s="38"/>
    </row>
    <row r="839" spans="7:9" ht="13.2">
      <c r="G839" s="38"/>
      <c r="H839" s="38"/>
      <c r="I839" s="38"/>
    </row>
    <row r="840" spans="7:9" ht="13.2">
      <c r="G840" s="38"/>
      <c r="H840" s="38"/>
      <c r="I840" s="38"/>
    </row>
    <row r="841" spans="7:9" ht="13.2">
      <c r="G841" s="38"/>
      <c r="H841" s="38"/>
      <c r="I841" s="38"/>
    </row>
    <row r="842" spans="7:9" ht="13.2">
      <c r="G842" s="38"/>
      <c r="H842" s="38"/>
      <c r="I842" s="38"/>
    </row>
    <row r="843" spans="7:9" ht="13.2">
      <c r="G843" s="38"/>
      <c r="H843" s="38"/>
      <c r="I843" s="38"/>
    </row>
    <row r="844" spans="7:9" ht="13.2">
      <c r="G844" s="38"/>
      <c r="H844" s="38"/>
      <c r="I844" s="38"/>
    </row>
    <row r="845" spans="7:9" ht="13.2">
      <c r="G845" s="38"/>
      <c r="H845" s="38"/>
      <c r="I845" s="38"/>
    </row>
    <row r="846" spans="7:9" ht="13.2">
      <c r="G846" s="38"/>
      <c r="H846" s="38"/>
      <c r="I846" s="38"/>
    </row>
    <row r="847" spans="7:9" ht="13.2">
      <c r="G847" s="38"/>
      <c r="H847" s="38"/>
      <c r="I847" s="38"/>
    </row>
    <row r="848" spans="7:9" ht="13.2">
      <c r="G848" s="38"/>
      <c r="H848" s="38"/>
      <c r="I848" s="38"/>
    </row>
    <row r="849" spans="7:9" ht="13.2">
      <c r="G849" s="38"/>
      <c r="H849" s="38"/>
      <c r="I849" s="38"/>
    </row>
    <row r="850" spans="7:9" ht="13.2">
      <c r="G850" s="38"/>
      <c r="H850" s="38"/>
      <c r="I850" s="38"/>
    </row>
    <row r="851" spans="7:9" ht="13.2">
      <c r="G851" s="38"/>
      <c r="H851" s="38"/>
      <c r="I851" s="38"/>
    </row>
    <row r="852" spans="7:9" ht="13.2">
      <c r="G852" s="38"/>
      <c r="H852" s="38"/>
      <c r="I852" s="38"/>
    </row>
    <row r="853" spans="7:9" ht="13.2">
      <c r="G853" s="38"/>
      <c r="H853" s="38"/>
      <c r="I853" s="38"/>
    </row>
    <row r="854" spans="7:9" ht="13.2">
      <c r="G854" s="38"/>
      <c r="H854" s="38"/>
      <c r="I854" s="38"/>
    </row>
    <row r="855" spans="7:9" ht="13.2">
      <c r="G855" s="38"/>
      <c r="H855" s="38"/>
      <c r="I855" s="38"/>
    </row>
    <row r="856" spans="7:9" ht="13.2">
      <c r="G856" s="38"/>
      <c r="H856" s="38"/>
      <c r="I856" s="38"/>
    </row>
    <row r="857" spans="7:9" ht="13.2">
      <c r="G857" s="38"/>
      <c r="H857" s="38"/>
      <c r="I857" s="38"/>
    </row>
    <row r="858" spans="7:9" ht="13.2">
      <c r="G858" s="38"/>
      <c r="H858" s="38"/>
      <c r="I858" s="38"/>
    </row>
    <row r="859" spans="7:9" ht="13.2">
      <c r="G859" s="38"/>
      <c r="H859" s="38"/>
      <c r="I859" s="38"/>
    </row>
    <row r="860" spans="7:9" ht="13.2">
      <c r="G860" s="38"/>
      <c r="H860" s="38"/>
      <c r="I860" s="38"/>
    </row>
    <row r="861" spans="7:9" ht="13.2">
      <c r="G861" s="38"/>
      <c r="H861" s="38"/>
      <c r="I861" s="38"/>
    </row>
    <row r="862" spans="7:9" ht="13.2">
      <c r="G862" s="38"/>
      <c r="H862" s="38"/>
      <c r="I862" s="38"/>
    </row>
    <row r="863" spans="7:9" ht="13.2">
      <c r="G863" s="38"/>
      <c r="H863" s="38"/>
      <c r="I863" s="38"/>
    </row>
    <row r="864" spans="7:9" ht="13.2">
      <c r="G864" s="38"/>
      <c r="H864" s="38"/>
      <c r="I864" s="38"/>
    </row>
    <row r="865" spans="7:9" ht="13.2">
      <c r="G865" s="38"/>
      <c r="H865" s="38"/>
      <c r="I865" s="38"/>
    </row>
    <row r="866" spans="7:9" ht="13.2">
      <c r="G866" s="38"/>
      <c r="H866" s="38"/>
      <c r="I866" s="38"/>
    </row>
    <row r="867" spans="7:9" ht="13.2">
      <c r="G867" s="38"/>
      <c r="H867" s="38"/>
      <c r="I867" s="38"/>
    </row>
    <row r="868" spans="7:9" ht="13.2">
      <c r="G868" s="38"/>
      <c r="H868" s="38"/>
      <c r="I868" s="38"/>
    </row>
    <row r="869" spans="7:9" ht="13.2">
      <c r="G869" s="38"/>
      <c r="H869" s="38"/>
      <c r="I869" s="38"/>
    </row>
    <row r="870" spans="7:9" ht="13.2">
      <c r="G870" s="38"/>
      <c r="H870" s="38"/>
      <c r="I870" s="38"/>
    </row>
    <row r="871" spans="7:9" ht="13.2">
      <c r="G871" s="38"/>
      <c r="H871" s="38"/>
      <c r="I871" s="38"/>
    </row>
    <row r="872" spans="7:9" ht="13.2">
      <c r="G872" s="38"/>
      <c r="H872" s="38"/>
      <c r="I872" s="38"/>
    </row>
    <row r="873" spans="7:9" ht="13.2">
      <c r="G873" s="38"/>
      <c r="H873" s="38"/>
      <c r="I873" s="38"/>
    </row>
    <row r="874" spans="7:9" ht="13.2">
      <c r="G874" s="38"/>
      <c r="H874" s="38"/>
      <c r="I874" s="38"/>
    </row>
    <row r="875" spans="7:9" ht="13.2">
      <c r="G875" s="38"/>
      <c r="H875" s="38"/>
      <c r="I875" s="38"/>
    </row>
    <row r="876" spans="7:9" ht="13.2">
      <c r="G876" s="38"/>
      <c r="H876" s="38"/>
      <c r="I876" s="38"/>
    </row>
    <row r="877" spans="7:9" ht="13.2">
      <c r="G877" s="38"/>
      <c r="H877" s="38"/>
      <c r="I877" s="38"/>
    </row>
    <row r="878" spans="7:9" ht="13.2">
      <c r="G878" s="38"/>
      <c r="H878" s="38"/>
      <c r="I878" s="38"/>
    </row>
    <row r="879" spans="7:9" ht="13.2">
      <c r="G879" s="38"/>
      <c r="H879" s="38"/>
      <c r="I879" s="38"/>
    </row>
    <row r="880" spans="7:9" ht="13.2">
      <c r="G880" s="38"/>
      <c r="H880" s="38"/>
      <c r="I880" s="38"/>
    </row>
    <row r="881" spans="7:9" ht="13.2">
      <c r="G881" s="38"/>
      <c r="H881" s="38"/>
      <c r="I881" s="38"/>
    </row>
    <row r="882" spans="7:9" ht="13.2">
      <c r="G882" s="38"/>
      <c r="H882" s="38"/>
      <c r="I882" s="38"/>
    </row>
    <row r="883" spans="7:9" ht="13.2">
      <c r="G883" s="38"/>
      <c r="H883" s="38"/>
      <c r="I883" s="38"/>
    </row>
    <row r="884" spans="7:9" ht="13.2">
      <c r="G884" s="38"/>
      <c r="H884" s="38"/>
      <c r="I884" s="38"/>
    </row>
    <row r="885" spans="7:9" ht="13.2">
      <c r="G885" s="38"/>
      <c r="H885" s="38"/>
      <c r="I885" s="38"/>
    </row>
    <row r="886" spans="7:9" ht="13.2">
      <c r="G886" s="38"/>
      <c r="H886" s="38"/>
      <c r="I886" s="38"/>
    </row>
    <row r="887" spans="7:9" ht="13.2">
      <c r="G887" s="38"/>
      <c r="H887" s="38"/>
      <c r="I887" s="38"/>
    </row>
    <row r="888" spans="7:9" ht="13.2">
      <c r="G888" s="38"/>
      <c r="H888" s="38"/>
      <c r="I888" s="38"/>
    </row>
    <row r="889" spans="7:9" ht="13.2">
      <c r="G889" s="38"/>
      <c r="H889" s="38"/>
      <c r="I889" s="38"/>
    </row>
    <row r="890" spans="7:9" ht="13.2">
      <c r="G890" s="38"/>
      <c r="H890" s="38"/>
      <c r="I890" s="38"/>
    </row>
    <row r="891" spans="7:9" ht="13.2">
      <c r="G891" s="38"/>
      <c r="H891" s="38"/>
      <c r="I891" s="38"/>
    </row>
    <row r="892" spans="7:9" ht="13.2">
      <c r="G892" s="38"/>
      <c r="H892" s="38"/>
      <c r="I892" s="38"/>
    </row>
    <row r="893" spans="7:9" ht="13.2">
      <c r="G893" s="38"/>
      <c r="H893" s="38"/>
      <c r="I893" s="38"/>
    </row>
    <row r="894" spans="7:9" ht="13.2">
      <c r="G894" s="38"/>
      <c r="H894" s="38"/>
      <c r="I894" s="38"/>
    </row>
    <row r="895" spans="7:9" ht="13.2">
      <c r="G895" s="38"/>
      <c r="H895" s="38"/>
      <c r="I895" s="38"/>
    </row>
    <row r="896" spans="7:9" ht="13.2">
      <c r="G896" s="38"/>
      <c r="H896" s="38"/>
      <c r="I896" s="38"/>
    </row>
    <row r="897" spans="7:9" ht="13.2">
      <c r="G897" s="38"/>
      <c r="H897" s="38"/>
      <c r="I897" s="38"/>
    </row>
    <row r="898" spans="7:9" ht="13.2">
      <c r="G898" s="38"/>
      <c r="H898" s="38"/>
      <c r="I898" s="38"/>
    </row>
    <row r="899" spans="7:9" ht="13.2">
      <c r="G899" s="38"/>
      <c r="H899" s="38"/>
      <c r="I899" s="38"/>
    </row>
    <row r="900" spans="7:9" ht="13.2">
      <c r="G900" s="38"/>
      <c r="H900" s="38"/>
      <c r="I900" s="38"/>
    </row>
    <row r="901" spans="7:9" ht="13.2">
      <c r="G901" s="38"/>
      <c r="H901" s="38"/>
      <c r="I901" s="38"/>
    </row>
    <row r="902" spans="7:9" ht="13.2">
      <c r="G902" s="38"/>
      <c r="H902" s="38"/>
      <c r="I902" s="38"/>
    </row>
    <row r="903" spans="7:9" ht="13.2">
      <c r="G903" s="38"/>
      <c r="H903" s="38"/>
      <c r="I903" s="38"/>
    </row>
    <row r="904" spans="7:9" ht="13.2">
      <c r="G904" s="38"/>
      <c r="H904" s="38"/>
      <c r="I904" s="38"/>
    </row>
    <row r="905" spans="7:9" ht="13.2">
      <c r="G905" s="38"/>
      <c r="H905" s="38"/>
      <c r="I905" s="38"/>
    </row>
    <row r="906" spans="7:9" ht="13.2">
      <c r="G906" s="38"/>
      <c r="H906" s="38"/>
      <c r="I906" s="38"/>
    </row>
    <row r="907" spans="7:9" ht="13.2">
      <c r="G907" s="38"/>
      <c r="H907" s="38"/>
      <c r="I907" s="38"/>
    </row>
    <row r="908" spans="7:9" ht="13.2">
      <c r="G908" s="38"/>
      <c r="H908" s="38"/>
      <c r="I908" s="38"/>
    </row>
    <row r="909" spans="7:9" ht="13.2">
      <c r="G909" s="38"/>
      <c r="H909" s="38"/>
      <c r="I909" s="38"/>
    </row>
    <row r="910" spans="7:9" ht="13.2">
      <c r="G910" s="38"/>
      <c r="H910" s="38"/>
      <c r="I910" s="38"/>
    </row>
    <row r="911" spans="7:9" ht="13.2">
      <c r="G911" s="38"/>
      <c r="H911" s="38"/>
      <c r="I911" s="38"/>
    </row>
    <row r="912" spans="7:9" ht="13.2">
      <c r="G912" s="38"/>
      <c r="H912" s="38"/>
      <c r="I912" s="38"/>
    </row>
    <row r="913" spans="7:9" ht="13.2">
      <c r="G913" s="38"/>
      <c r="H913" s="38"/>
      <c r="I913" s="38"/>
    </row>
    <row r="914" spans="7:9" ht="13.2">
      <c r="G914" s="38"/>
      <c r="H914" s="38"/>
      <c r="I914" s="38"/>
    </row>
    <row r="915" spans="7:9" ht="13.2">
      <c r="G915" s="38"/>
      <c r="H915" s="38"/>
      <c r="I915" s="38"/>
    </row>
    <row r="916" spans="7:9" ht="13.2">
      <c r="G916" s="38"/>
      <c r="H916" s="38"/>
      <c r="I916" s="38"/>
    </row>
    <row r="917" spans="7:9" ht="13.2">
      <c r="G917" s="38"/>
      <c r="H917" s="38"/>
      <c r="I917" s="38"/>
    </row>
    <row r="918" spans="7:9" ht="13.2">
      <c r="G918" s="38"/>
      <c r="H918" s="38"/>
      <c r="I918" s="38"/>
    </row>
    <row r="919" spans="7:9" ht="13.2">
      <c r="G919" s="38"/>
      <c r="H919" s="38"/>
      <c r="I919" s="38"/>
    </row>
    <row r="920" spans="7:9" ht="13.2">
      <c r="G920" s="38"/>
      <c r="H920" s="38"/>
      <c r="I920" s="38"/>
    </row>
    <row r="921" spans="7:9" ht="13.2">
      <c r="G921" s="38"/>
      <c r="H921" s="38"/>
      <c r="I921" s="38"/>
    </row>
    <row r="922" spans="7:9" ht="13.2">
      <c r="G922" s="38"/>
      <c r="H922" s="38"/>
      <c r="I922" s="38"/>
    </row>
    <row r="923" spans="7:9" ht="13.2">
      <c r="G923" s="38"/>
      <c r="H923" s="38"/>
      <c r="I923" s="38"/>
    </row>
    <row r="924" spans="7:9" ht="13.2">
      <c r="G924" s="38"/>
      <c r="H924" s="38"/>
      <c r="I924" s="38"/>
    </row>
    <row r="925" spans="7:9" ht="13.2">
      <c r="G925" s="38"/>
      <c r="H925" s="38"/>
      <c r="I925" s="38"/>
    </row>
    <row r="926" spans="7:9" ht="13.2">
      <c r="G926" s="38"/>
      <c r="H926" s="38"/>
      <c r="I926" s="38"/>
    </row>
    <row r="927" spans="7:9" ht="13.2">
      <c r="G927" s="38"/>
      <c r="H927" s="38"/>
      <c r="I927" s="38"/>
    </row>
    <row r="928" spans="7:9" ht="13.2">
      <c r="G928" s="38"/>
      <c r="H928" s="38"/>
      <c r="I928" s="38"/>
    </row>
    <row r="929" spans="7:9" ht="13.2">
      <c r="G929" s="38"/>
      <c r="H929" s="38"/>
      <c r="I929" s="38"/>
    </row>
    <row r="930" spans="7:9" ht="13.2">
      <c r="G930" s="38"/>
      <c r="H930" s="38"/>
      <c r="I930" s="38"/>
    </row>
    <row r="931" spans="7:9" ht="13.2">
      <c r="G931" s="38"/>
      <c r="H931" s="38"/>
      <c r="I931" s="38"/>
    </row>
    <row r="932" spans="7:9" ht="13.2">
      <c r="G932" s="38"/>
      <c r="H932" s="38"/>
      <c r="I932" s="38"/>
    </row>
    <row r="933" spans="7:9" ht="13.2">
      <c r="G933" s="38"/>
      <c r="H933" s="38"/>
      <c r="I933" s="38"/>
    </row>
    <row r="934" spans="7:9" ht="13.2">
      <c r="G934" s="38"/>
      <c r="H934" s="38"/>
      <c r="I934" s="38"/>
    </row>
    <row r="935" spans="7:9" ht="13.2">
      <c r="G935" s="38"/>
      <c r="H935" s="38"/>
      <c r="I935" s="38"/>
    </row>
    <row r="936" spans="7:9" ht="13.2">
      <c r="G936" s="38"/>
      <c r="H936" s="38"/>
      <c r="I936" s="38"/>
    </row>
    <row r="937" spans="7:9" ht="13.2">
      <c r="G937" s="38"/>
      <c r="H937" s="38"/>
      <c r="I937" s="38"/>
    </row>
    <row r="938" spans="7:9" ht="13.2">
      <c r="G938" s="38"/>
      <c r="H938" s="38"/>
      <c r="I938" s="38"/>
    </row>
    <row r="939" spans="7:9" ht="13.2">
      <c r="G939" s="38"/>
      <c r="H939" s="38"/>
      <c r="I939" s="38"/>
    </row>
    <row r="940" spans="7:9" ht="13.2">
      <c r="G940" s="38"/>
      <c r="H940" s="38"/>
      <c r="I940" s="38"/>
    </row>
    <row r="941" spans="7:9" ht="13.2">
      <c r="G941" s="38"/>
      <c r="H941" s="38"/>
      <c r="I941" s="38"/>
    </row>
    <row r="942" spans="7:9" ht="13.2">
      <c r="G942" s="38"/>
      <c r="H942" s="38"/>
      <c r="I942" s="38"/>
    </row>
    <row r="943" spans="7:9" ht="13.2">
      <c r="G943" s="38"/>
      <c r="H943" s="38"/>
      <c r="I943" s="38"/>
    </row>
    <row r="944" spans="7:9" ht="13.2">
      <c r="G944" s="38"/>
      <c r="H944" s="38"/>
      <c r="I944" s="38"/>
    </row>
    <row r="945" spans="7:9" ht="13.2">
      <c r="G945" s="38"/>
      <c r="H945" s="38"/>
      <c r="I945" s="38"/>
    </row>
    <row r="946" spans="7:9" ht="13.2">
      <c r="G946" s="38"/>
      <c r="H946" s="38"/>
      <c r="I946" s="38"/>
    </row>
    <row r="947" spans="7:9" ht="13.2">
      <c r="G947" s="38"/>
      <c r="H947" s="38"/>
      <c r="I947" s="38"/>
    </row>
    <row r="948" spans="7:9" ht="13.2">
      <c r="G948" s="38"/>
      <c r="H948" s="38"/>
      <c r="I948" s="38"/>
    </row>
    <row r="949" spans="7:9" ht="13.2">
      <c r="G949" s="38"/>
      <c r="H949" s="38"/>
      <c r="I949" s="38"/>
    </row>
    <row r="950" spans="7:9" ht="13.2">
      <c r="G950" s="38"/>
      <c r="H950" s="38"/>
      <c r="I950" s="38"/>
    </row>
    <row r="951" spans="7:9" ht="13.2">
      <c r="G951" s="38"/>
      <c r="H951" s="38"/>
      <c r="I951" s="38"/>
    </row>
    <row r="952" spans="7:9" ht="13.2">
      <c r="G952" s="38"/>
      <c r="H952" s="38"/>
      <c r="I952" s="38"/>
    </row>
    <row r="953" spans="7:9" ht="13.2">
      <c r="G953" s="38"/>
      <c r="H953" s="38"/>
      <c r="I953" s="38"/>
    </row>
    <row r="954" spans="7:9" ht="13.2">
      <c r="G954" s="38"/>
      <c r="H954" s="38"/>
      <c r="I954" s="38"/>
    </row>
  </sheetData>
  <mergeCells count="18">
    <mergeCell ref="A47:B47"/>
    <mergeCell ref="A48:B48"/>
    <mergeCell ref="A49:B49"/>
    <mergeCell ref="A41:B41"/>
    <mergeCell ref="A42:B42"/>
    <mergeCell ref="A43:B43"/>
    <mergeCell ref="A44:B44"/>
    <mergeCell ref="A45:B45"/>
    <mergeCell ref="A46:B46"/>
    <mergeCell ref="A9:B20"/>
    <mergeCell ref="C9:D20"/>
    <mergeCell ref="E9:F20"/>
    <mergeCell ref="H15:I15"/>
    <mergeCell ref="A1:F6"/>
    <mergeCell ref="H1:I1"/>
    <mergeCell ref="A7:F7"/>
    <mergeCell ref="A8:F8"/>
    <mergeCell ref="H8:I8"/>
  </mergeCells>
  <hyperlinks>
    <hyperlink ref="I3" r:id="rId1"/>
    <hyperlink ref="I4" r:id="rId2"/>
    <hyperlink ref="I5" r:id="rId3"/>
    <hyperlink ref="I6" r:id="rId4"/>
    <hyperlink ref="A8" r:id="rId5"/>
    <hyperlink ref="I10" r:id="rId6"/>
    <hyperlink ref="I11" r:id="rId7"/>
    <hyperlink ref="I12" r:id="rId8"/>
    <hyperlink ref="I13" r:id="rId9"/>
    <hyperlink ref="I17" r:id="rId10"/>
    <hyperlink ref="I18" r:id="rId11"/>
    <hyperlink ref="I19" r:id="rId12"/>
    <hyperlink ref="I20" r:id="rId13"/>
    <hyperlink ref="B23" r:id="rId14"/>
    <hyperlink ref="C23" r:id="rId15"/>
    <hyperlink ref="D23" r:id="rId16"/>
    <hyperlink ref="E23" r:id="rId17"/>
    <hyperlink ref="F23" r:id="rId18"/>
    <hyperlink ref="B24" r:id="rId19"/>
    <hyperlink ref="C24" r:id="rId20"/>
    <hyperlink ref="D24" r:id="rId21"/>
    <hyperlink ref="E24" r:id="rId22"/>
    <hyperlink ref="F24" r:id="rId23"/>
    <hyperlink ref="B25" r:id="rId24"/>
    <hyperlink ref="C25" r:id="rId25"/>
    <hyperlink ref="D25" r:id="rId26"/>
    <hyperlink ref="E25" r:id="rId27"/>
    <hyperlink ref="F25" r:id="rId28"/>
    <hyperlink ref="B26" r:id="rId29"/>
    <hyperlink ref="C26" r:id="rId30"/>
    <hyperlink ref="D26" r:id="rId31"/>
    <hyperlink ref="E26" r:id="rId32"/>
    <hyperlink ref="F26" r:id="rId33"/>
    <hyperlink ref="B27" r:id="rId34"/>
    <hyperlink ref="C27" r:id="rId35"/>
    <hyperlink ref="D27" r:id="rId36"/>
    <hyperlink ref="E27" r:id="rId37"/>
    <hyperlink ref="F27" r:id="rId38"/>
    <hyperlink ref="B28" r:id="rId39"/>
    <hyperlink ref="C28" r:id="rId40"/>
    <hyperlink ref="D28" r:id="rId41"/>
    <hyperlink ref="E28" r:id="rId42"/>
    <hyperlink ref="F28" r:id="rId43"/>
    <hyperlink ref="B29" r:id="rId44"/>
    <hyperlink ref="C29" r:id="rId45"/>
    <hyperlink ref="D29" r:id="rId46"/>
    <hyperlink ref="E29" r:id="rId47"/>
    <hyperlink ref="F29" r:id="rId48"/>
    <hyperlink ref="A41" r:id="rId49"/>
    <hyperlink ref="A42" r:id="rId50"/>
    <hyperlink ref="A43" r:id="rId51"/>
    <hyperlink ref="A44" r:id="rId52"/>
    <hyperlink ref="A45" r:id="rId53"/>
    <hyperlink ref="A46" r:id="rId54"/>
    <hyperlink ref="A47" r:id="rId55"/>
    <hyperlink ref="A48" r:id="rId56"/>
    <hyperlink ref="A49" r:id="rId57"/>
  </hyperlinks>
  <pageMargins left="0.7" right="0.7" top="0.75" bottom="0.75" header="0.3" footer="0.3"/>
  <pageSetup paperSize="9" orientation="portrait" verticalDpi="0" r:id="rId58"/>
  <drawing r:id="rId59"/>
  <tableParts count="5">
    <tablePart r:id="rId60"/>
    <tablePart r:id="rId61"/>
    <tablePart r:id="rId62"/>
    <tablePart r:id="rId63"/>
    <tablePart r:id="rId6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B1:AM59"/>
  <sheetViews>
    <sheetView topLeftCell="C32" zoomScale="88" workbookViewId="0">
      <selection activeCell="J58" sqref="J58"/>
    </sheetView>
  </sheetViews>
  <sheetFormatPr defaultColWidth="12.5546875" defaultRowHeight="15.75" customHeight="1"/>
  <cols>
    <col min="3" max="3" width="46" bestFit="1" customWidth="1"/>
    <col min="4" max="4" width="15.33203125" bestFit="1" customWidth="1"/>
    <col min="5" max="5" width="46" bestFit="1" customWidth="1"/>
    <col min="6" max="6" width="9.5546875" bestFit="1" customWidth="1"/>
    <col min="7" max="7" width="46" bestFit="1" customWidth="1"/>
    <col min="8" max="8" width="9.5546875" bestFit="1" customWidth="1"/>
    <col min="9" max="9" width="46" bestFit="1" customWidth="1"/>
    <col min="10" max="10" width="9.5546875" bestFit="1" customWidth="1"/>
    <col min="19" max="19" width="18" bestFit="1" customWidth="1"/>
    <col min="20" max="20" width="8.6640625" bestFit="1" customWidth="1"/>
    <col min="21" max="21" width="9.88671875" bestFit="1" customWidth="1"/>
    <col min="22" max="23" width="8.6640625" bestFit="1" customWidth="1"/>
    <col min="24" max="24" width="9.88671875" bestFit="1" customWidth="1"/>
    <col min="26" max="26" width="3.77734375" bestFit="1" customWidth="1"/>
    <col min="27" max="27" width="9.88671875" bestFit="1" customWidth="1"/>
    <col min="30" max="30" width="3.77734375" bestFit="1" customWidth="1"/>
    <col min="31" max="31" width="9.88671875" bestFit="1" customWidth="1"/>
    <col min="34" max="34" width="3.77734375" bestFit="1" customWidth="1"/>
    <col min="35" max="35" width="9.88671875" bestFit="1" customWidth="1"/>
    <col min="36" max="36" width="23" bestFit="1" customWidth="1"/>
    <col min="37" max="37" width="12.21875" customWidth="1"/>
    <col min="38" max="38" width="2.88671875" bestFit="1" customWidth="1"/>
  </cols>
  <sheetData>
    <row r="1" spans="2:39" ht="15.75" customHeight="1">
      <c r="C1" s="17"/>
      <c r="T1" t="s">
        <v>35</v>
      </c>
      <c r="U1" t="s">
        <v>36</v>
      </c>
      <c r="V1" t="s">
        <v>37</v>
      </c>
      <c r="W1" t="s">
        <v>38</v>
      </c>
      <c r="AJ1" t="str">
        <f>"Средний KPI команды (%)"</f>
        <v>Средний KPI команды (%)</v>
      </c>
      <c r="AK1">
        <f>SUM(Данные!$T$3:$W$3)</f>
        <v>70</v>
      </c>
      <c r="AL1">
        <f>ROUND(IF(COUNT(D11,F11,H11,J11)=0,0,
            SUM(IFERROR(D11,0),IFERROR(F11,0),IFERROR(H11,0),IFERROR(J11,0))
            /COUNT(D11,F11,H11,J11)),0)</f>
        <v>93</v>
      </c>
      <c r="AM1" s="24">
        <v>45904</v>
      </c>
    </row>
    <row r="2" spans="2:39" ht="15.75" customHeight="1">
      <c r="B2" s="18"/>
      <c r="C2" s="120" t="s">
        <v>4</v>
      </c>
      <c r="D2" s="121"/>
      <c r="T2">
        <f>SUM(D4,D16,D28,D40,D52)</f>
        <v>25</v>
      </c>
      <c r="U2">
        <f>SUM(F4,F16,F28,F40,F52)</f>
        <v>26</v>
      </c>
      <c r="V2">
        <f>SUM(H4,H16,H28,H40,H52)</f>
        <v>19</v>
      </c>
      <c r="W2">
        <f>SUM(J4,J16,J28,J40,J52)</f>
        <v>8</v>
      </c>
      <c r="AJ2">
        <f>ROUND(AVERAGE(Данные!U8,Данные!X8,Данные!AA8,Данные!AE8,Данные!AI8)*100,2)</f>
        <v>93.45</v>
      </c>
      <c r="AK2">
        <f>SUM(Данные!$T$2:$W$2)</f>
        <v>78</v>
      </c>
      <c r="AL2">
        <f>ROUND(IF(COUNT(D23,F23,H23,J23)=0,0,
    SUM(IFERROR(D23,0),IFERROR(F23,0),IFERROR(H23,0),IFERROR(J23,0))
    /COUNT(D23,F23,H23,J23)),0)</f>
        <v>98</v>
      </c>
    </row>
    <row r="3" spans="2:39" ht="15.75" customHeight="1">
      <c r="B3" s="18"/>
      <c r="C3" s="118" t="s">
        <v>35</v>
      </c>
      <c r="D3" s="119"/>
      <c r="E3" s="120" t="s">
        <v>36</v>
      </c>
      <c r="F3" s="121"/>
      <c r="G3" s="120" t="s">
        <v>37</v>
      </c>
      <c r="H3" s="121"/>
      <c r="I3" s="120" t="s">
        <v>38</v>
      </c>
      <c r="J3" s="121"/>
      <c r="K3" s="92"/>
      <c r="L3" s="92"/>
      <c r="M3" s="92"/>
      <c r="N3" s="92"/>
      <c r="T3">
        <f>SUM(D5,D17,D29,D41,D53)</f>
        <v>21</v>
      </c>
      <c r="U3">
        <f>SUM(F5,F17,F29,F41,F53)</f>
        <v>24</v>
      </c>
      <c r="V3">
        <f>SUM(H5,H17,H29,H41,H53)</f>
        <v>17</v>
      </c>
      <c r="W3">
        <f>SUM(J5,J17,J29,J41,J53)</f>
        <v>8</v>
      </c>
      <c r="AK3">
        <f>ROUND(IFERROR(SUM(Данные!$T$4:$W$4)/SUM(Данные!$T$3:$W$3)*100,0),2)</f>
        <v>94.29</v>
      </c>
      <c r="AL3">
        <f>ROUND(IF(COUNT(D35,F35,H35,J35)=0,0,
    SUM(IFERROR(D35,0),IFERROR(F35,0),IFERROR(H35,0),IFERROR(J35,0))
    /COUNT(D35,F35,H35,J35)),0)</f>
        <v>95</v>
      </c>
    </row>
    <row r="4" spans="2:39" ht="15.75" customHeight="1">
      <c r="C4" s="19" t="s">
        <v>39</v>
      </c>
      <c r="D4" s="20">
        <v>7</v>
      </c>
      <c r="E4" s="19" t="s">
        <v>39</v>
      </c>
      <c r="F4" s="20">
        <v>5</v>
      </c>
      <c r="G4" s="19" t="s">
        <v>39</v>
      </c>
      <c r="H4" s="20">
        <v>4</v>
      </c>
      <c r="I4" s="19" t="s">
        <v>39</v>
      </c>
      <c r="J4" s="20">
        <v>3</v>
      </c>
      <c r="T4">
        <f>SUM(D6,D18,D30,D42,D54)</f>
        <v>20</v>
      </c>
      <c r="U4">
        <f>SUM(F6,F18,F30,F42,F54)</f>
        <v>22</v>
      </c>
      <c r="V4">
        <f>SUM(H6,H18,H30,H42,H54)</f>
        <v>16</v>
      </c>
      <c r="W4">
        <f>SUM(J6,J18,J30,J42,J54)</f>
        <v>8</v>
      </c>
      <c r="AK4">
        <f>Данные!$AJ$2</f>
        <v>93.45</v>
      </c>
      <c r="AL4">
        <f>ROUND(IF(COUNT(D47,F47,H47,J47)=0,0,
    SUM(IFERROR(D47,0),IFERROR(F47,0),IFERROR(H47,0),IFERROR(J47,0))
    /COUNT(D47,F47,H47,J47)),0)</f>
        <v>89</v>
      </c>
    </row>
    <row r="5" spans="2:39" ht="15.75" customHeight="1">
      <c r="C5" s="19" t="s">
        <v>40</v>
      </c>
      <c r="D5" s="20">
        <v>7</v>
      </c>
      <c r="E5" s="19" t="s">
        <v>40</v>
      </c>
      <c r="F5" s="20">
        <v>5</v>
      </c>
      <c r="G5" s="19" t="s">
        <v>40</v>
      </c>
      <c r="H5" s="20">
        <v>4</v>
      </c>
      <c r="I5" s="19" t="s">
        <v>40</v>
      </c>
      <c r="J5" s="20">
        <v>3</v>
      </c>
      <c r="T5">
        <f>ROUND(IFERROR(T4/T3*100,0),2)</f>
        <v>95.24</v>
      </c>
      <c r="U5">
        <f>ROUND(IFERROR(U4/U3*100,0),2)</f>
        <v>91.67</v>
      </c>
      <c r="V5">
        <f>ROUND(IFERROR(V4/V3*100,0),2)</f>
        <v>94.12</v>
      </c>
      <c r="W5">
        <f>ROUND(IFERROR(W4/W3*100,0),2)</f>
        <v>100</v>
      </c>
      <c r="AK5">
        <f>SUM(Данные!$T$4:$W$4)</f>
        <v>66</v>
      </c>
      <c r="AL5">
        <f>ROUND(IF(COUNT(D59,F59,H59,J59)=0,0,
    SUM(IFERROR(D59,0),IFERROR(F59,0),IFERROR(H59,0),IFERROR(J59,0))
    /COUNT(D59,F59,H59,J59)),0)</f>
        <v>94</v>
      </c>
    </row>
    <row r="6" spans="2:39" ht="15.75" customHeight="1">
      <c r="C6" s="19" t="s">
        <v>41</v>
      </c>
      <c r="D6" s="20">
        <v>6</v>
      </c>
      <c r="E6" s="19" t="s">
        <v>41</v>
      </c>
      <c r="F6" s="20">
        <v>4</v>
      </c>
      <c r="G6" s="19" t="s">
        <v>41</v>
      </c>
      <c r="H6" s="20">
        <v>3</v>
      </c>
      <c r="I6" s="19" t="s">
        <v>41</v>
      </c>
      <c r="J6" s="20">
        <v>3</v>
      </c>
      <c r="T6">
        <f>ROUND(IFERROR(T3/T2*100,0),2)</f>
        <v>84</v>
      </c>
      <c r="U6">
        <f>ROUND(IFERROR(U3/U2*100,0),2)</f>
        <v>92.31</v>
      </c>
      <c r="V6">
        <f>ROUND(IFERROR(V3/V2*100,0),2)</f>
        <v>89.47</v>
      </c>
      <c r="W6">
        <f>ROUND(IFERROR(W3/W2*100,0),2)</f>
        <v>100</v>
      </c>
      <c r="AK6" t="e">
        <f ca="1">MIN(КОНМЕСЯЦ(E3,0),E3+6)</f>
        <v>#NAME?</v>
      </c>
    </row>
    <row r="7" spans="2:39" ht="15.75" customHeight="1">
      <c r="C7" s="19" t="s">
        <v>42</v>
      </c>
      <c r="D7" s="20">
        <f>D5/D4*100</f>
        <v>100</v>
      </c>
      <c r="E7" s="19" t="s">
        <v>42</v>
      </c>
      <c r="F7" s="20">
        <f>F5/F4*100</f>
        <v>100</v>
      </c>
      <c r="G7" s="19" t="s">
        <v>42</v>
      </c>
      <c r="H7" s="20">
        <f>H5/H4*100</f>
        <v>100</v>
      </c>
      <c r="I7" s="19" t="s">
        <v>42</v>
      </c>
      <c r="J7" s="20">
        <f>J5/J4*100</f>
        <v>100</v>
      </c>
      <c r="T7" t="str">
        <f>"KPI"</f>
        <v>KPI</v>
      </c>
      <c r="U7" t="str">
        <f>"Остальное"</f>
        <v>Остальное</v>
      </c>
      <c r="W7" t="str">
        <f>"KPI"</f>
        <v>KPI</v>
      </c>
      <c r="X7" t="str">
        <f>"Остальное"</f>
        <v>Остальное</v>
      </c>
      <c r="Z7" t="str">
        <f>"KPI"</f>
        <v>KPI</v>
      </c>
      <c r="AA7" t="str">
        <f>"Остальное"</f>
        <v>Остальное</v>
      </c>
      <c r="AD7" t="str">
        <f>"KPI"</f>
        <v>KPI</v>
      </c>
      <c r="AE7" t="str">
        <f>"Остальное"</f>
        <v>Остальное</v>
      </c>
      <c r="AH7" t="str">
        <f>"KPI"</f>
        <v>KPI</v>
      </c>
      <c r="AI7" t="str">
        <f>"Остальное"</f>
        <v>Остальное</v>
      </c>
    </row>
    <row r="8" spans="2:39" ht="15.75" customHeight="1">
      <c r="C8" s="19" t="s">
        <v>43</v>
      </c>
      <c r="D8" s="20">
        <f>ROUND(D6/D5*100,2)</f>
        <v>85.71</v>
      </c>
      <c r="E8" s="19" t="s">
        <v>43</v>
      </c>
      <c r="F8" s="20">
        <f>ROUND(F6/F5*100,2)</f>
        <v>80</v>
      </c>
      <c r="G8" s="19" t="s">
        <v>43</v>
      </c>
      <c r="H8" s="20">
        <f>ROUND(H6/H5*100,2)</f>
        <v>75</v>
      </c>
      <c r="I8" s="19" t="s">
        <v>43</v>
      </c>
      <c r="J8" s="20">
        <f>ROUND(J6/J5*100,2)</f>
        <v>100</v>
      </c>
      <c r="S8" t="str">
        <f>C2</f>
        <v>Крипак Ксения</v>
      </c>
      <c r="T8">
        <f>SUM(D5,F5,H5,J5)</f>
        <v>19</v>
      </c>
      <c r="U8">
        <f>IF(COUNT(D11,F11,H11,J11)=0,0,
        SUM(IFERROR(D11,0),IFERROR(F11,0),IFERROR(H11,0),IFERROR(J11,0))
        /COUNT(D11,F11,H11,J11)/100)</f>
        <v>0.92764999999999997</v>
      </c>
      <c r="X8">
        <f>IF(COUNT(D23,F23,H23,J23)=0,0,
        SUM(IFERROR(D23,0),IFERROR(F23,0),IFERROR(H23,0),IFERROR(J23,0))
        /COUNT(D23,F23,H23,J23)/100)</f>
        <v>0.97777500000000006</v>
      </c>
      <c r="AA8">
        <f>IF(COUNT(D35,F35,H35,J35)=0,0,
         SUM(IFERROR(D35,0),IFERROR(F35,0),IFERROR(H35,0),IFERROR(J35,0))
         /COUNT(D35,F35,H35,J35)/100)</f>
        <v>0.94609999999999983</v>
      </c>
      <c r="AE8">
        <f>IF(COUNT(D47,F47,H47,J47)=0,0,
         SUM(IFERROR(D47,0),IFERROR(F47,0),IFERROR(H47,0),IFERROR(J47,0))
         /COUNT(D47,F47,H47,J47)/100)</f>
        <v>0.88572499999999987</v>
      </c>
      <c r="AI8">
        <f>IF(COUNT(D59,F59,H59,J59)=0,0,
         SUM(IFERROR(D59,0),IFERROR(F59,0),IFERROR(H59,0),IFERROR(J59,0))
         /COUNT(D59,F59,H59,J59)/100)</f>
        <v>0.93532499999999996</v>
      </c>
    </row>
    <row r="9" spans="2:39" ht="15.75" customHeight="1">
      <c r="C9" s="19" t="s">
        <v>44</v>
      </c>
      <c r="D9" s="20">
        <v>5</v>
      </c>
      <c r="E9" s="19" t="s">
        <v>44</v>
      </c>
      <c r="F9" s="20">
        <v>5</v>
      </c>
      <c r="G9" s="19" t="s">
        <v>44</v>
      </c>
      <c r="H9" s="20">
        <v>4</v>
      </c>
      <c r="I9" s="19" t="s">
        <v>44</v>
      </c>
      <c r="J9" s="20">
        <v>5</v>
      </c>
      <c r="S9" t="str">
        <f>C14</f>
        <v>Марущак Анастасия</v>
      </c>
      <c r="T9">
        <f>SUM(D17,F17,H17,J17)</f>
        <v>14</v>
      </c>
      <c r="U9">
        <f>1-U8</f>
        <v>7.2350000000000025E-2</v>
      </c>
      <c r="X9">
        <f>1-X8</f>
        <v>2.2224999999999939E-2</v>
      </c>
      <c r="AA9">
        <f>1-AA8</f>
        <v>5.390000000000017E-2</v>
      </c>
      <c r="AE9">
        <f>1-AE8</f>
        <v>0.11427500000000013</v>
      </c>
      <c r="AI9">
        <f>1-AI8</f>
        <v>6.4675000000000038E-2</v>
      </c>
    </row>
    <row r="10" spans="2:39" ht="15.75" customHeight="1">
      <c r="C10" s="19" t="s">
        <v>45</v>
      </c>
      <c r="D10" s="20">
        <v>5</v>
      </c>
      <c r="E10" s="19" t="s">
        <v>45</v>
      </c>
      <c r="F10" s="20">
        <v>4.5</v>
      </c>
      <c r="G10" s="19" t="s">
        <v>45</v>
      </c>
      <c r="H10" s="20">
        <v>5</v>
      </c>
      <c r="I10" s="19" t="s">
        <v>45</v>
      </c>
      <c r="J10" s="20">
        <v>5</v>
      </c>
      <c r="S10" t="str">
        <f>C26</f>
        <v>Усанов Владислав</v>
      </c>
      <c r="T10">
        <f>SUM(D29,F29,H29,J29)</f>
        <v>16</v>
      </c>
    </row>
    <row r="11" spans="2:39" ht="15.75" customHeight="1">
      <c r="C11" s="21" t="s">
        <v>46</v>
      </c>
      <c r="D11" s="22">
        <f>ROUND(SUM(D7:D10)/210*100,2)</f>
        <v>93.2</v>
      </c>
      <c r="E11" s="21" t="s">
        <v>46</v>
      </c>
      <c r="F11" s="22">
        <f>ROUND(SUM(F7:F10)/210*100,2)</f>
        <v>90.24</v>
      </c>
      <c r="G11" s="21" t="s">
        <v>46</v>
      </c>
      <c r="H11" s="22">
        <f>ROUND(SUM(H7:H10)/210*100,2)</f>
        <v>87.62</v>
      </c>
      <c r="I11" s="21" t="s">
        <v>46</v>
      </c>
      <c r="J11" s="22">
        <f>ROUND(SUM(J7:J10)/210*100,2)</f>
        <v>100</v>
      </c>
      <c r="S11" t="str">
        <f>C38</f>
        <v>Пащенко Анастасия</v>
      </c>
      <c r="T11">
        <f>SUM(D41,F41,H41,J41)</f>
        <v>10</v>
      </c>
    </row>
    <row r="12" spans="2:39" ht="15.75" customHeight="1">
      <c r="S12" t="str">
        <f>C50</f>
        <v>Кузнецов Никита</v>
      </c>
      <c r="T12">
        <f>SUM(D53,F53,H53,J53)</f>
        <v>11</v>
      </c>
    </row>
    <row r="14" spans="2:39" ht="15.75" customHeight="1">
      <c r="C14" s="120" t="s">
        <v>6</v>
      </c>
      <c r="D14" s="121"/>
    </row>
    <row r="15" spans="2:39" ht="15.75" customHeight="1">
      <c r="C15" s="118" t="s">
        <v>35</v>
      </c>
      <c r="D15" s="119"/>
      <c r="E15" s="120" t="s">
        <v>36</v>
      </c>
      <c r="F15" s="121"/>
      <c r="G15" s="120" t="s">
        <v>37</v>
      </c>
      <c r="H15" s="121"/>
      <c r="I15" s="120" t="s">
        <v>38</v>
      </c>
      <c r="J15" s="121"/>
    </row>
    <row r="16" spans="2:39" ht="15.75" customHeight="1">
      <c r="C16" s="19" t="s">
        <v>39</v>
      </c>
      <c r="D16" s="20">
        <v>6</v>
      </c>
      <c r="E16" s="19" t="s">
        <v>39</v>
      </c>
      <c r="F16" s="20">
        <v>5</v>
      </c>
      <c r="G16" s="19" t="s">
        <v>39</v>
      </c>
      <c r="H16" s="20">
        <v>3</v>
      </c>
      <c r="I16" s="19" t="s">
        <v>39</v>
      </c>
      <c r="J16" s="20">
        <v>1</v>
      </c>
    </row>
    <row r="17" spans="3:10" ht="15.75" customHeight="1">
      <c r="C17" s="19" t="s">
        <v>40</v>
      </c>
      <c r="D17" s="20">
        <v>5</v>
      </c>
      <c r="E17" s="19" t="s">
        <v>40</v>
      </c>
      <c r="F17" s="20">
        <v>5</v>
      </c>
      <c r="G17" s="19" t="s">
        <v>40</v>
      </c>
      <c r="H17" s="20">
        <v>3</v>
      </c>
      <c r="I17" s="19" t="s">
        <v>40</v>
      </c>
      <c r="J17" s="20">
        <v>1</v>
      </c>
    </row>
    <row r="18" spans="3:10" ht="15.75" customHeight="1">
      <c r="C18" s="19" t="s">
        <v>41</v>
      </c>
      <c r="D18" s="20">
        <v>5</v>
      </c>
      <c r="E18" s="19" t="s">
        <v>41</v>
      </c>
      <c r="F18" s="20">
        <v>5</v>
      </c>
      <c r="G18" s="19" t="s">
        <v>41</v>
      </c>
      <c r="H18" s="20">
        <v>3</v>
      </c>
      <c r="I18" s="19" t="s">
        <v>41</v>
      </c>
      <c r="J18" s="20">
        <v>1</v>
      </c>
    </row>
    <row r="19" spans="3:10" ht="15.75" customHeight="1">
      <c r="C19" s="19" t="s">
        <v>42</v>
      </c>
      <c r="D19" s="20">
        <f>D17/D16*100</f>
        <v>83.333333333333343</v>
      </c>
      <c r="E19" s="19" t="s">
        <v>42</v>
      </c>
      <c r="F19" s="20">
        <f>F17/F16*100</f>
        <v>100</v>
      </c>
      <c r="G19" s="19" t="s">
        <v>42</v>
      </c>
      <c r="H19" s="20">
        <f>H17/H16*100</f>
        <v>100</v>
      </c>
      <c r="I19" s="19" t="s">
        <v>42</v>
      </c>
      <c r="J19" s="20">
        <f>J17/J16*100</f>
        <v>100</v>
      </c>
    </row>
    <row r="20" spans="3:10" ht="15.75" customHeight="1">
      <c r="C20" s="19" t="s">
        <v>43</v>
      </c>
      <c r="D20" s="20">
        <f>ROUND(D18/D17*100,2)</f>
        <v>100</v>
      </c>
      <c r="E20" s="19" t="s">
        <v>43</v>
      </c>
      <c r="F20" s="20">
        <f>ROUND(F18/F17*100,2)</f>
        <v>100</v>
      </c>
      <c r="G20" s="19" t="s">
        <v>43</v>
      </c>
      <c r="H20" s="20">
        <f>ROUND(H18/H17*100,2)</f>
        <v>100</v>
      </c>
      <c r="I20" s="19" t="s">
        <v>43</v>
      </c>
      <c r="J20" s="20">
        <f>ROUND(J18/J17*100,2)</f>
        <v>100</v>
      </c>
    </row>
    <row r="21" spans="3:10" ht="15.75" customHeight="1">
      <c r="C21" s="19" t="s">
        <v>44</v>
      </c>
      <c r="D21" s="20">
        <v>4.5</v>
      </c>
      <c r="E21" s="19" t="s">
        <v>44</v>
      </c>
      <c r="F21" s="20">
        <v>5</v>
      </c>
      <c r="G21" s="19" t="s">
        <v>44</v>
      </c>
      <c r="H21" s="20">
        <v>4.5</v>
      </c>
      <c r="I21" s="19" t="s">
        <v>44</v>
      </c>
      <c r="J21" s="20">
        <v>5</v>
      </c>
    </row>
    <row r="22" spans="3:10" ht="15.75" customHeight="1">
      <c r="C22" s="19" t="s">
        <v>45</v>
      </c>
      <c r="D22" s="20">
        <v>4</v>
      </c>
      <c r="E22" s="19" t="s">
        <v>45</v>
      </c>
      <c r="F22" s="20">
        <v>5</v>
      </c>
      <c r="G22" s="19" t="s">
        <v>45</v>
      </c>
      <c r="H22" s="20">
        <v>5</v>
      </c>
      <c r="I22" s="19" t="s">
        <v>45</v>
      </c>
      <c r="J22" s="20">
        <v>5</v>
      </c>
    </row>
    <row r="23" spans="3:10" ht="15.75" customHeight="1">
      <c r="C23" s="21" t="s">
        <v>46</v>
      </c>
      <c r="D23" s="22">
        <f>ROUND(SUM(D19:D22)/210*100,2)</f>
        <v>91.35</v>
      </c>
      <c r="E23" s="21" t="s">
        <v>46</v>
      </c>
      <c r="F23" s="22">
        <f>ROUND(SUM(F19:F22)/210*100,2)</f>
        <v>100</v>
      </c>
      <c r="G23" s="21" t="s">
        <v>46</v>
      </c>
      <c r="H23" s="22">
        <f>ROUND(SUM(H19:H22)/210*100,2)</f>
        <v>99.76</v>
      </c>
      <c r="I23" s="21" t="s">
        <v>46</v>
      </c>
      <c r="J23" s="22">
        <f>ROUND(SUM(J19:J22)/210*100,2)</f>
        <v>100</v>
      </c>
    </row>
    <row r="26" spans="3:10" ht="15.75" customHeight="1">
      <c r="C26" s="120" t="s">
        <v>12</v>
      </c>
      <c r="D26" s="121"/>
    </row>
    <row r="27" spans="3:10" ht="15.75" customHeight="1">
      <c r="C27" s="118" t="s">
        <v>35</v>
      </c>
      <c r="D27" s="119"/>
      <c r="E27" s="120" t="s">
        <v>36</v>
      </c>
      <c r="F27" s="121"/>
      <c r="G27" s="120" t="s">
        <v>37</v>
      </c>
      <c r="H27" s="121"/>
      <c r="I27" s="120" t="s">
        <v>38</v>
      </c>
      <c r="J27" s="121"/>
    </row>
    <row r="28" spans="3:10" ht="15.75" customHeight="1">
      <c r="C28" s="19" t="s">
        <v>39</v>
      </c>
      <c r="D28" s="20">
        <v>5</v>
      </c>
      <c r="E28" s="19" t="s">
        <v>39</v>
      </c>
      <c r="F28" s="20">
        <v>7</v>
      </c>
      <c r="G28" s="19" t="s">
        <v>39</v>
      </c>
      <c r="H28" s="20">
        <v>4</v>
      </c>
      <c r="I28" s="19" t="s">
        <v>39</v>
      </c>
      <c r="J28" s="20">
        <v>1</v>
      </c>
    </row>
    <row r="29" spans="3:10" ht="16.5" customHeight="1">
      <c r="C29" s="19" t="s">
        <v>40</v>
      </c>
      <c r="D29" s="20">
        <v>5</v>
      </c>
      <c r="E29" s="19" t="s">
        <v>40</v>
      </c>
      <c r="F29" s="20">
        <v>7</v>
      </c>
      <c r="G29" s="19" t="s">
        <v>40</v>
      </c>
      <c r="H29" s="20">
        <v>3</v>
      </c>
      <c r="I29" s="19" t="s">
        <v>40</v>
      </c>
      <c r="J29" s="20">
        <v>1</v>
      </c>
    </row>
    <row r="30" spans="3:10" ht="16.5" customHeight="1">
      <c r="C30" s="19" t="s">
        <v>41</v>
      </c>
      <c r="D30" s="20">
        <v>5</v>
      </c>
      <c r="E30" s="19" t="s">
        <v>41</v>
      </c>
      <c r="F30" s="20">
        <v>6</v>
      </c>
      <c r="G30" s="19" t="s">
        <v>41</v>
      </c>
      <c r="H30" s="20">
        <v>3</v>
      </c>
      <c r="I30" s="19" t="s">
        <v>41</v>
      </c>
      <c r="J30" s="20">
        <v>1</v>
      </c>
    </row>
    <row r="31" spans="3:10" ht="16.5" customHeight="1">
      <c r="C31" s="19" t="s">
        <v>42</v>
      </c>
      <c r="D31" s="20">
        <f>D29/D28*100</f>
        <v>100</v>
      </c>
      <c r="E31" s="19" t="s">
        <v>42</v>
      </c>
      <c r="F31" s="20">
        <f>F29/F28*100</f>
        <v>100</v>
      </c>
      <c r="G31" s="19" t="s">
        <v>42</v>
      </c>
      <c r="H31" s="20">
        <f>H29/H28*100</f>
        <v>75</v>
      </c>
      <c r="I31" s="19" t="s">
        <v>42</v>
      </c>
      <c r="J31" s="20">
        <f>J29/J28*100</f>
        <v>100</v>
      </c>
    </row>
    <row r="32" spans="3:10" ht="16.5" customHeight="1">
      <c r="C32" s="19" t="s">
        <v>43</v>
      </c>
      <c r="D32" s="20">
        <f>ROUND(D30/D29*100,2)</f>
        <v>100</v>
      </c>
      <c r="E32" s="19" t="s">
        <v>43</v>
      </c>
      <c r="F32" s="20">
        <f>ROUND(F30/F29*100,2)</f>
        <v>85.71</v>
      </c>
      <c r="G32" s="19" t="s">
        <v>43</v>
      </c>
      <c r="H32" s="20">
        <f>ROUND(H30/H29*100,2)</f>
        <v>100</v>
      </c>
      <c r="I32" s="19" t="s">
        <v>43</v>
      </c>
      <c r="J32" s="20">
        <f>ROUND(J30/J29*100,2)</f>
        <v>100</v>
      </c>
    </row>
    <row r="33" spans="3:10" ht="16.5" customHeight="1">
      <c r="C33" s="19" t="s">
        <v>44</v>
      </c>
      <c r="D33" s="20">
        <v>4</v>
      </c>
      <c r="E33" s="19" t="s">
        <v>44</v>
      </c>
      <c r="F33" s="20">
        <v>3</v>
      </c>
      <c r="G33" s="19" t="s">
        <v>44</v>
      </c>
      <c r="H33" s="20">
        <v>5</v>
      </c>
      <c r="I33" s="19" t="s">
        <v>44</v>
      </c>
      <c r="J33" s="20">
        <v>5</v>
      </c>
    </row>
    <row r="34" spans="3:10" ht="16.5" customHeight="1">
      <c r="C34" s="19" t="s">
        <v>45</v>
      </c>
      <c r="D34" s="20">
        <v>4</v>
      </c>
      <c r="E34" s="19" t="s">
        <v>45</v>
      </c>
      <c r="F34" s="20">
        <v>4</v>
      </c>
      <c r="G34" s="19" t="s">
        <v>45</v>
      </c>
      <c r="H34" s="20">
        <v>5</v>
      </c>
      <c r="I34" s="19" t="s">
        <v>45</v>
      </c>
      <c r="J34" s="20">
        <v>4</v>
      </c>
    </row>
    <row r="35" spans="3:10" ht="16.5" customHeight="1">
      <c r="C35" s="21" t="s">
        <v>46</v>
      </c>
      <c r="D35" s="22">
        <f>ROUND(SUM(D31:D34)/210*100,2)</f>
        <v>99.05</v>
      </c>
      <c r="E35" s="21" t="s">
        <v>46</v>
      </c>
      <c r="F35" s="22">
        <f>ROUND(SUM(F31:F34)/210*100,2)</f>
        <v>91.77</v>
      </c>
      <c r="G35" s="21" t="s">
        <v>46</v>
      </c>
      <c r="H35" s="22">
        <f>ROUND(SUM(H31:H34)/210*100,2)</f>
        <v>88.1</v>
      </c>
      <c r="I35" s="21" t="s">
        <v>46</v>
      </c>
      <c r="J35" s="22">
        <f>ROUND(SUM(J31:J34)/210*100,2)</f>
        <v>99.52</v>
      </c>
    </row>
    <row r="38" spans="3:10" ht="16.95" customHeight="1">
      <c r="C38" s="120" t="s">
        <v>15</v>
      </c>
      <c r="D38" s="121"/>
    </row>
    <row r="39" spans="3:10" ht="16.95" customHeight="1">
      <c r="C39" s="118" t="s">
        <v>35</v>
      </c>
      <c r="D39" s="119"/>
      <c r="E39" s="120" t="s">
        <v>36</v>
      </c>
      <c r="F39" s="121"/>
      <c r="G39" s="120" t="s">
        <v>37</v>
      </c>
      <c r="H39" s="121"/>
      <c r="I39" s="120" t="s">
        <v>38</v>
      </c>
      <c r="J39" s="121"/>
    </row>
    <row r="40" spans="3:10" ht="16.5" customHeight="1">
      <c r="C40" s="19" t="s">
        <v>39</v>
      </c>
      <c r="D40" s="20">
        <v>4</v>
      </c>
      <c r="E40" s="19" t="s">
        <v>39</v>
      </c>
      <c r="F40" s="20">
        <v>4</v>
      </c>
      <c r="G40" s="19" t="s">
        <v>39</v>
      </c>
      <c r="H40" s="20">
        <v>5</v>
      </c>
      <c r="I40" s="19" t="s">
        <v>39</v>
      </c>
      <c r="J40" s="20">
        <v>1</v>
      </c>
    </row>
    <row r="41" spans="3:10" ht="16.5" customHeight="1">
      <c r="C41" s="19" t="s">
        <v>40</v>
      </c>
      <c r="D41" s="20">
        <v>2</v>
      </c>
      <c r="E41" s="19" t="s">
        <v>40</v>
      </c>
      <c r="F41" s="20">
        <v>3</v>
      </c>
      <c r="G41" s="19" t="s">
        <v>40</v>
      </c>
      <c r="H41" s="20">
        <v>4</v>
      </c>
      <c r="I41" s="19" t="s">
        <v>40</v>
      </c>
      <c r="J41" s="20">
        <v>1</v>
      </c>
    </row>
    <row r="42" spans="3:10" ht="16.5" customHeight="1">
      <c r="C42" s="19" t="s">
        <v>41</v>
      </c>
      <c r="D42" s="20">
        <v>2</v>
      </c>
      <c r="E42" s="19" t="s">
        <v>41</v>
      </c>
      <c r="F42" s="20">
        <v>3</v>
      </c>
      <c r="G42" s="19" t="s">
        <v>41</v>
      </c>
      <c r="H42" s="20">
        <v>4</v>
      </c>
      <c r="I42" s="19" t="s">
        <v>41</v>
      </c>
      <c r="J42" s="20">
        <v>1</v>
      </c>
    </row>
    <row r="43" spans="3:10" ht="16.5" customHeight="1">
      <c r="C43" s="19" t="s">
        <v>42</v>
      </c>
      <c r="D43" s="20">
        <f>D41/D40*100</f>
        <v>50</v>
      </c>
      <c r="E43" s="19" t="s">
        <v>42</v>
      </c>
      <c r="F43" s="20">
        <f>F41/F40*100</f>
        <v>75</v>
      </c>
      <c r="G43" s="19" t="s">
        <v>42</v>
      </c>
      <c r="H43" s="20">
        <f>H41/H40*100</f>
        <v>80</v>
      </c>
      <c r="I43" s="19" t="s">
        <v>42</v>
      </c>
      <c r="J43" s="20">
        <f>J41/J40*100</f>
        <v>100</v>
      </c>
    </row>
    <row r="44" spans="3:10" ht="16.5" customHeight="1">
      <c r="C44" s="19" t="s">
        <v>43</v>
      </c>
      <c r="D44" s="20">
        <f>ROUND(D42/D41*100,2)</f>
        <v>100</v>
      </c>
      <c r="E44" s="19" t="s">
        <v>43</v>
      </c>
      <c r="F44" s="20">
        <f>ROUND(F42/F41*100,2)</f>
        <v>100</v>
      </c>
      <c r="G44" s="19" t="s">
        <v>43</v>
      </c>
      <c r="H44" s="20">
        <f>ROUND(H42/H41*100,2)</f>
        <v>100</v>
      </c>
      <c r="I44" s="19" t="s">
        <v>43</v>
      </c>
      <c r="J44" s="20">
        <f>ROUND(J42/J41*100,2)</f>
        <v>100</v>
      </c>
    </row>
    <row r="45" spans="3:10" ht="16.5" customHeight="1">
      <c r="C45" s="19" t="s">
        <v>44</v>
      </c>
      <c r="D45" s="20">
        <v>5</v>
      </c>
      <c r="E45" s="19" t="s">
        <v>44</v>
      </c>
      <c r="F45" s="20">
        <v>5</v>
      </c>
      <c r="G45" s="19" t="s">
        <v>44</v>
      </c>
      <c r="H45" s="20">
        <v>4</v>
      </c>
      <c r="I45" s="19" t="s">
        <v>44</v>
      </c>
      <c r="J45" s="20">
        <v>5</v>
      </c>
    </row>
    <row r="46" spans="3:10" ht="16.5" customHeight="1">
      <c r="C46" s="19" t="s">
        <v>45</v>
      </c>
      <c r="D46" s="20">
        <v>5</v>
      </c>
      <c r="E46" s="19" t="s">
        <v>45</v>
      </c>
      <c r="F46" s="20">
        <v>5</v>
      </c>
      <c r="G46" s="19" t="s">
        <v>45</v>
      </c>
      <c r="H46" s="20">
        <v>5</v>
      </c>
      <c r="I46" s="19" t="s">
        <v>45</v>
      </c>
      <c r="J46" s="20">
        <v>5</v>
      </c>
    </row>
    <row r="47" spans="3:10" ht="16.5" customHeight="1">
      <c r="C47" s="21" t="s">
        <v>46</v>
      </c>
      <c r="D47" s="22">
        <f>ROUND(SUM(D43:D46)/210*100,2)</f>
        <v>76.19</v>
      </c>
      <c r="E47" s="21" t="s">
        <v>46</v>
      </c>
      <c r="F47" s="22">
        <f>ROUND(SUM(F43:F46)/210*100,2)</f>
        <v>88.1</v>
      </c>
      <c r="G47" s="21" t="s">
        <v>46</v>
      </c>
      <c r="H47" s="22">
        <f>ROUND(SUM(H43:H46)/210*100,2)</f>
        <v>90</v>
      </c>
      <c r="I47" s="21" t="s">
        <v>46</v>
      </c>
      <c r="J47" s="22">
        <f>ROUND(SUM(J43:J46)/210*100,2)</f>
        <v>100</v>
      </c>
    </row>
    <row r="50" spans="3:10" ht="16.95" customHeight="1">
      <c r="C50" s="120" t="s">
        <v>9</v>
      </c>
      <c r="D50" s="121"/>
    </row>
    <row r="51" spans="3:10" ht="16.95" customHeight="1">
      <c r="C51" s="118" t="s">
        <v>35</v>
      </c>
      <c r="D51" s="119"/>
      <c r="E51" s="120" t="s">
        <v>36</v>
      </c>
      <c r="F51" s="121"/>
      <c r="G51" s="120" t="s">
        <v>37</v>
      </c>
      <c r="H51" s="121"/>
      <c r="I51" s="120" t="s">
        <v>38</v>
      </c>
      <c r="J51" s="121"/>
    </row>
    <row r="52" spans="3:10" ht="16.5" customHeight="1">
      <c r="C52" s="19" t="s">
        <v>39</v>
      </c>
      <c r="D52" s="20">
        <v>3</v>
      </c>
      <c r="E52" s="19" t="s">
        <v>39</v>
      </c>
      <c r="F52" s="20">
        <v>5</v>
      </c>
      <c r="G52" s="19" t="s">
        <v>39</v>
      </c>
      <c r="H52" s="20">
        <v>3</v>
      </c>
      <c r="I52" s="19" t="s">
        <v>39</v>
      </c>
      <c r="J52" s="20">
        <v>2</v>
      </c>
    </row>
    <row r="53" spans="3:10" ht="16.5" customHeight="1">
      <c r="C53" s="19" t="s">
        <v>40</v>
      </c>
      <c r="D53" s="20">
        <v>2</v>
      </c>
      <c r="E53" s="19" t="s">
        <v>40</v>
      </c>
      <c r="F53" s="20">
        <v>4</v>
      </c>
      <c r="G53" s="19" t="s">
        <v>40</v>
      </c>
      <c r="H53" s="20">
        <v>3</v>
      </c>
      <c r="I53" s="19" t="s">
        <v>40</v>
      </c>
      <c r="J53" s="20">
        <v>2</v>
      </c>
    </row>
    <row r="54" spans="3:10" ht="16.5" customHeight="1">
      <c r="C54" s="19" t="s">
        <v>41</v>
      </c>
      <c r="D54" s="20">
        <v>2</v>
      </c>
      <c r="E54" s="19" t="s">
        <v>41</v>
      </c>
      <c r="F54" s="20">
        <v>4</v>
      </c>
      <c r="G54" s="19" t="s">
        <v>41</v>
      </c>
      <c r="H54" s="20">
        <v>3</v>
      </c>
      <c r="I54" s="19" t="s">
        <v>41</v>
      </c>
      <c r="J54" s="20">
        <v>2</v>
      </c>
    </row>
    <row r="55" spans="3:10" ht="16.5" customHeight="1">
      <c r="C55" s="19" t="s">
        <v>42</v>
      </c>
      <c r="D55" s="20">
        <f>D53/D52*100</f>
        <v>66.666666666666657</v>
      </c>
      <c r="E55" s="19" t="s">
        <v>42</v>
      </c>
      <c r="F55" s="20">
        <f>F53/F52*100</f>
        <v>80</v>
      </c>
      <c r="G55" s="19" t="s">
        <v>42</v>
      </c>
      <c r="H55" s="20">
        <f>H53/H52*100</f>
        <v>100</v>
      </c>
      <c r="I55" s="19" t="s">
        <v>42</v>
      </c>
      <c r="J55" s="20">
        <f>J53/J52*100</f>
        <v>100</v>
      </c>
    </row>
    <row r="56" spans="3:10" ht="16.5" customHeight="1">
      <c r="C56" s="19" t="s">
        <v>43</v>
      </c>
      <c r="D56" s="20">
        <f>ROUND(D54/D53*100,2)</f>
        <v>100</v>
      </c>
      <c r="E56" s="19" t="s">
        <v>43</v>
      </c>
      <c r="F56" s="20">
        <f>ROUND(F54/F53*100,2)</f>
        <v>100</v>
      </c>
      <c r="G56" s="19" t="s">
        <v>43</v>
      </c>
      <c r="H56" s="20">
        <f>ROUND(H54/H53*100,2)</f>
        <v>100</v>
      </c>
      <c r="I56" s="19" t="s">
        <v>43</v>
      </c>
      <c r="J56" s="20">
        <f>ROUND(J54/J53*100,2)</f>
        <v>100</v>
      </c>
    </row>
    <row r="57" spans="3:10" ht="16.5" customHeight="1">
      <c r="C57" s="19" t="s">
        <v>44</v>
      </c>
      <c r="D57" s="20">
        <v>5</v>
      </c>
      <c r="E57" s="19" t="s">
        <v>44</v>
      </c>
      <c r="F57" s="20">
        <v>5</v>
      </c>
      <c r="G57" s="19" t="s">
        <v>44</v>
      </c>
      <c r="H57" s="20">
        <v>5</v>
      </c>
      <c r="I57" s="19" t="s">
        <v>44</v>
      </c>
      <c r="J57" s="20">
        <v>5</v>
      </c>
    </row>
    <row r="58" spans="3:10" ht="16.5" customHeight="1">
      <c r="C58" s="19" t="s">
        <v>45</v>
      </c>
      <c r="D58" s="20">
        <v>5</v>
      </c>
      <c r="E58" s="19" t="s">
        <v>45</v>
      </c>
      <c r="F58" s="20">
        <v>5</v>
      </c>
      <c r="G58" s="19" t="s">
        <v>45</v>
      </c>
      <c r="H58" s="20">
        <v>4</v>
      </c>
      <c r="I58" s="19" t="s">
        <v>45</v>
      </c>
      <c r="J58" s="20">
        <v>5</v>
      </c>
    </row>
    <row r="59" spans="3:10" ht="16.5" customHeight="1">
      <c r="C59" s="21" t="s">
        <v>46</v>
      </c>
      <c r="D59" s="22">
        <f>ROUND(SUM(D55:D58)/210*100,2)</f>
        <v>84.13</v>
      </c>
      <c r="E59" s="21" t="s">
        <v>46</v>
      </c>
      <c r="F59" s="22">
        <f>ROUND(SUM(F55:F58)/210*100,2)</f>
        <v>90.48</v>
      </c>
      <c r="G59" s="21" t="s">
        <v>46</v>
      </c>
      <c r="H59" s="22">
        <f>ROUND(SUM(H55:H58)/210*100,2)</f>
        <v>99.52</v>
      </c>
      <c r="I59" s="21" t="s">
        <v>46</v>
      </c>
      <c r="J59" s="22">
        <f>ROUND(SUM(J55:J58)/210*100,2)</f>
        <v>100</v>
      </c>
    </row>
  </sheetData>
  <mergeCells count="27">
    <mergeCell ref="C2:D2"/>
    <mergeCell ref="C3:D3"/>
    <mergeCell ref="E3:F3"/>
    <mergeCell ref="G3:H3"/>
    <mergeCell ref="I3:J3"/>
    <mergeCell ref="M3:N3"/>
    <mergeCell ref="C14:D14"/>
    <mergeCell ref="C15:D15"/>
    <mergeCell ref="E15:F15"/>
    <mergeCell ref="G15:H15"/>
    <mergeCell ref="I15:J15"/>
    <mergeCell ref="K3:L3"/>
    <mergeCell ref="C51:D51"/>
    <mergeCell ref="E51:F51"/>
    <mergeCell ref="G51:H51"/>
    <mergeCell ref="I51:J51"/>
    <mergeCell ref="C26:D26"/>
    <mergeCell ref="C27:D27"/>
    <mergeCell ref="E27:F27"/>
    <mergeCell ref="G27:H27"/>
    <mergeCell ref="I27:J27"/>
    <mergeCell ref="C38:D38"/>
    <mergeCell ref="C39:D39"/>
    <mergeCell ref="E39:F39"/>
    <mergeCell ref="G39:H39"/>
    <mergeCell ref="I39:J39"/>
    <mergeCell ref="C50:D5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I33"/>
  <sheetViews>
    <sheetView zoomScale="79" zoomScaleNormal="55" workbookViewId="0">
      <selection activeCell="Q13" sqref="Q13"/>
    </sheetView>
  </sheetViews>
  <sheetFormatPr defaultColWidth="12.5546875" defaultRowHeight="13.2"/>
  <cols>
    <col min="1" max="1" width="12.5546875" customWidth="1"/>
    <col min="2" max="2" width="10.109375" customWidth="1"/>
    <col min="3" max="3" width="45.21875" customWidth="1"/>
    <col min="4" max="4" width="22.109375" customWidth="1"/>
    <col min="5" max="5" width="23.6640625" customWidth="1"/>
    <col min="6" max="6" width="20.88671875" customWidth="1"/>
    <col min="7" max="7" width="19" customWidth="1"/>
    <col min="8" max="8" width="6.6640625" customWidth="1"/>
    <col min="9" max="9" width="11.77734375" customWidth="1"/>
  </cols>
  <sheetData>
    <row r="1" spans="1:9">
      <c r="A1" s="25"/>
      <c r="B1" s="25"/>
      <c r="C1" s="25"/>
      <c r="D1" s="25"/>
      <c r="E1" s="25"/>
      <c r="F1" s="25"/>
      <c r="G1" s="25"/>
      <c r="H1" s="25"/>
      <c r="I1" s="25"/>
    </row>
    <row r="2" spans="1:9">
      <c r="A2" s="25"/>
      <c r="B2" s="26"/>
      <c r="C2" s="26"/>
      <c r="D2" s="26"/>
      <c r="E2" s="26"/>
      <c r="F2" s="26"/>
      <c r="G2" s="26"/>
      <c r="H2" s="26"/>
      <c r="I2" s="25"/>
    </row>
    <row r="3" spans="1:9" ht="20.399999999999999">
      <c r="A3" s="25"/>
      <c r="B3" s="26"/>
      <c r="C3" s="27" t="s">
        <v>78</v>
      </c>
      <c r="D3" s="28" t="s">
        <v>79</v>
      </c>
      <c r="E3" s="37">
        <f>Данные!AM1</f>
        <v>45904</v>
      </c>
      <c r="F3" s="29" t="s">
        <v>80</v>
      </c>
      <c r="G3" s="37">
        <v>45932</v>
      </c>
      <c r="H3" s="26"/>
      <c r="I3" s="25"/>
    </row>
    <row r="4" spans="1:9">
      <c r="A4" s="25"/>
      <c r="B4" s="26"/>
      <c r="C4" s="26"/>
      <c r="D4" s="26"/>
      <c r="E4" s="26"/>
      <c r="F4" s="26"/>
      <c r="G4" s="26"/>
      <c r="H4" s="26"/>
      <c r="I4" s="25"/>
    </row>
    <row r="5" spans="1:9">
      <c r="A5" s="25"/>
      <c r="B5" s="25"/>
      <c r="C5" s="25"/>
      <c r="D5" s="25"/>
      <c r="E5" s="25"/>
      <c r="F5" s="25"/>
      <c r="G5" s="25"/>
      <c r="H5" s="25"/>
      <c r="I5" s="25"/>
    </row>
    <row r="6" spans="1:9">
      <c r="A6" s="25"/>
      <c r="B6" s="25"/>
      <c r="C6" s="25"/>
      <c r="D6" s="25"/>
      <c r="E6" s="25"/>
      <c r="F6" s="25"/>
      <c r="G6" s="25"/>
      <c r="H6" s="25"/>
      <c r="I6" s="25"/>
    </row>
    <row r="7" spans="1:9">
      <c r="A7" s="25"/>
      <c r="B7" s="25"/>
      <c r="C7" s="25"/>
      <c r="D7" s="25"/>
      <c r="E7" s="25"/>
      <c r="F7" s="25"/>
      <c r="G7" s="25"/>
      <c r="H7" s="25"/>
      <c r="I7" s="25"/>
    </row>
    <row r="8" spans="1:9">
      <c r="A8" s="25"/>
      <c r="B8" s="25"/>
      <c r="C8" s="25"/>
      <c r="D8" s="25"/>
      <c r="E8" s="25"/>
      <c r="F8" s="25"/>
      <c r="G8" s="25"/>
      <c r="H8" s="25"/>
      <c r="I8" s="25"/>
    </row>
    <row r="9" spans="1:9">
      <c r="A9" s="25"/>
      <c r="B9" s="25"/>
      <c r="C9" s="25"/>
      <c r="D9" s="25"/>
      <c r="E9" s="25"/>
      <c r="F9" s="25"/>
      <c r="G9" s="25"/>
      <c r="H9" s="25"/>
      <c r="I9" s="25"/>
    </row>
    <row r="10" spans="1:9">
      <c r="A10" s="25"/>
      <c r="B10" s="25"/>
      <c r="C10" s="25"/>
      <c r="D10" s="25"/>
      <c r="E10" s="25"/>
      <c r="F10" s="25"/>
      <c r="G10" s="25"/>
      <c r="H10" s="25"/>
      <c r="I10" s="25"/>
    </row>
    <row r="11" spans="1:9">
      <c r="A11" s="25"/>
      <c r="B11" s="25"/>
      <c r="C11" s="25"/>
      <c r="D11" s="25"/>
      <c r="E11" s="25"/>
      <c r="F11" s="25"/>
      <c r="G11" s="25"/>
      <c r="H11" s="25"/>
      <c r="I11" s="25"/>
    </row>
    <row r="12" spans="1:9">
      <c r="A12" s="25"/>
      <c r="B12" s="25"/>
      <c r="C12" s="25"/>
      <c r="D12" s="25"/>
      <c r="E12" s="25"/>
      <c r="F12" s="25"/>
      <c r="G12" s="25"/>
      <c r="H12" s="25"/>
      <c r="I12" s="25"/>
    </row>
    <row r="13" spans="1:9">
      <c r="A13" s="25"/>
      <c r="B13" s="25"/>
      <c r="C13" s="25"/>
      <c r="D13" s="25"/>
      <c r="E13" s="25"/>
      <c r="F13" s="25"/>
      <c r="G13" s="25"/>
      <c r="H13" s="25"/>
      <c r="I13" s="25"/>
    </row>
    <row r="14" spans="1:9">
      <c r="A14" s="25"/>
      <c r="B14" s="25"/>
      <c r="C14" s="25"/>
      <c r="D14" s="25"/>
      <c r="E14" s="25"/>
      <c r="F14" s="25"/>
      <c r="G14" s="25"/>
      <c r="H14" s="25"/>
      <c r="I14" s="25"/>
    </row>
    <row r="15" spans="1:9">
      <c r="A15" s="25"/>
      <c r="B15" s="25"/>
      <c r="C15" s="25"/>
      <c r="D15" s="25"/>
      <c r="E15" s="25"/>
      <c r="F15" s="25"/>
      <c r="G15" s="25"/>
      <c r="H15" s="25"/>
      <c r="I15" s="25"/>
    </row>
    <row r="16" spans="1:9">
      <c r="A16" s="25"/>
      <c r="B16" s="25"/>
      <c r="C16" s="25"/>
      <c r="D16" s="25"/>
      <c r="E16" s="25"/>
      <c r="F16" s="25"/>
      <c r="G16" s="25"/>
      <c r="H16" s="25"/>
      <c r="I16" s="25"/>
    </row>
    <row r="17" spans="1:9">
      <c r="A17" s="25"/>
      <c r="B17" s="25"/>
      <c r="C17" s="25"/>
      <c r="D17" s="25"/>
      <c r="E17" s="25"/>
      <c r="F17" s="25"/>
      <c r="G17" s="25"/>
      <c r="H17" s="25"/>
      <c r="I17" s="25"/>
    </row>
    <row r="18" spans="1:9">
      <c r="A18" s="25"/>
      <c r="B18" s="25"/>
      <c r="C18" s="25"/>
      <c r="D18" s="25"/>
      <c r="E18" s="25"/>
      <c r="F18" s="25"/>
      <c r="G18" s="25"/>
      <c r="H18" s="25"/>
      <c r="I18" s="25"/>
    </row>
    <row r="19" spans="1:9">
      <c r="A19" s="25"/>
      <c r="B19" s="25"/>
      <c r="C19" s="25"/>
      <c r="D19" s="25"/>
      <c r="E19" s="25"/>
      <c r="F19" s="25"/>
      <c r="G19" s="25"/>
      <c r="H19" s="25"/>
      <c r="I19" s="25"/>
    </row>
    <row r="20" spans="1:9" ht="19.95" customHeight="1">
      <c r="A20" s="25"/>
      <c r="B20" s="25"/>
      <c r="C20" s="25"/>
      <c r="D20" s="25"/>
      <c r="E20" s="25"/>
      <c r="F20" s="25"/>
      <c r="G20" s="25"/>
      <c r="H20" s="25"/>
      <c r="I20" s="25"/>
    </row>
    <row r="21" spans="1:9" ht="37.5" customHeight="1">
      <c r="A21" s="25"/>
      <c r="B21" s="25"/>
      <c r="C21" s="25"/>
      <c r="D21" s="25"/>
      <c r="E21" s="25"/>
      <c r="F21" s="25"/>
      <c r="G21" s="25"/>
      <c r="H21" s="25"/>
      <c r="I21" s="25"/>
    </row>
    <row r="22" spans="1:9">
      <c r="A22" s="25"/>
      <c r="B22" s="25"/>
      <c r="C22" s="25"/>
      <c r="D22" s="25"/>
      <c r="E22" s="25"/>
      <c r="F22" s="25"/>
      <c r="G22" s="25"/>
      <c r="H22" s="25"/>
      <c r="I22" s="25"/>
    </row>
    <row r="23" spans="1:9">
      <c r="A23" s="25"/>
      <c r="B23" s="25"/>
      <c r="C23" s="25"/>
      <c r="D23" s="25"/>
      <c r="E23" s="25"/>
      <c r="F23" s="25"/>
      <c r="G23" s="25"/>
      <c r="H23" s="25"/>
      <c r="I23" s="25"/>
    </row>
    <row r="24" spans="1:9">
      <c r="A24" s="25"/>
      <c r="B24" s="25"/>
      <c r="C24" s="25"/>
      <c r="D24" s="25"/>
      <c r="E24" s="25"/>
      <c r="F24" s="25"/>
      <c r="G24" s="25"/>
      <c r="H24" s="25"/>
      <c r="I24" s="25"/>
    </row>
    <row r="25" spans="1:9">
      <c r="A25" s="25"/>
      <c r="B25" s="25"/>
      <c r="C25" s="25"/>
      <c r="D25" s="25"/>
      <c r="E25" s="25"/>
      <c r="F25" s="25"/>
      <c r="G25" s="25"/>
      <c r="H25" s="25"/>
      <c r="I25" s="25"/>
    </row>
    <row r="26" spans="1:9">
      <c r="A26" s="25"/>
      <c r="B26" s="25"/>
      <c r="C26" s="25"/>
      <c r="D26" s="25"/>
      <c r="E26" s="25"/>
      <c r="F26" s="25"/>
      <c r="G26" s="25"/>
      <c r="H26" s="25"/>
      <c r="I26" s="25"/>
    </row>
    <row r="27" spans="1:9">
      <c r="A27" s="25"/>
      <c r="B27" s="25"/>
      <c r="C27" s="25"/>
      <c r="D27" s="25"/>
      <c r="E27" s="25"/>
      <c r="F27" s="25"/>
      <c r="G27" s="25"/>
      <c r="H27" s="25"/>
      <c r="I27" s="25"/>
    </row>
    <row r="28" spans="1:9">
      <c r="A28" s="25"/>
      <c r="B28" s="25"/>
      <c r="C28" s="25"/>
      <c r="D28" s="25"/>
      <c r="E28" s="25"/>
      <c r="F28" s="25"/>
      <c r="G28" s="25"/>
      <c r="H28" s="25"/>
      <c r="I28" s="25"/>
    </row>
    <row r="29" spans="1:9">
      <c r="A29" s="25"/>
      <c r="B29" s="25"/>
      <c r="C29" s="25"/>
      <c r="D29" s="25"/>
      <c r="E29" s="25"/>
      <c r="F29" s="25"/>
      <c r="G29" s="25"/>
      <c r="H29" s="25"/>
      <c r="I29" s="25"/>
    </row>
    <row r="30" spans="1:9">
      <c r="A30" s="25"/>
      <c r="B30" s="25"/>
      <c r="C30" s="25"/>
      <c r="D30" s="25"/>
      <c r="E30" s="25"/>
      <c r="F30" s="25"/>
      <c r="G30" s="25"/>
      <c r="H30" s="25"/>
      <c r="I30" s="25"/>
    </row>
    <row r="31" spans="1:9" ht="42.45" customHeight="1">
      <c r="A31" s="25"/>
      <c r="B31" s="25"/>
      <c r="C31" s="25"/>
      <c r="D31" s="25"/>
      <c r="E31" s="25"/>
      <c r="F31" s="25"/>
      <c r="G31" s="25"/>
      <c r="H31" s="25"/>
      <c r="I31" s="25"/>
    </row>
    <row r="32" spans="1:9">
      <c r="A32" s="30"/>
      <c r="B32" s="30"/>
      <c r="C32" s="30"/>
      <c r="D32" s="30"/>
      <c r="E32" s="30"/>
      <c r="F32" s="30"/>
      <c r="G32" s="30"/>
      <c r="H32" s="30"/>
      <c r="I32" s="30"/>
    </row>
    <row r="33" spans="1:9">
      <c r="A33" s="30"/>
      <c r="B33" s="30"/>
      <c r="C33" s="30"/>
      <c r="D33" s="30"/>
      <c r="E33" s="30"/>
      <c r="F33" s="30"/>
      <c r="G33" s="30"/>
      <c r="H33" s="30"/>
      <c r="I33" s="30"/>
    </row>
  </sheetData>
  <dataValidations count="1">
    <dataValidation type="date" allowBlank="1" showInputMessage="1" showErrorMessage="1" sqref="E3">
      <formula1>45444</formula1>
      <formula2>73050</formula2>
    </dataValidation>
  </dataValidations>
  <pageMargins left="0.75" right="0.75" top="1" bottom="1" header="0.5" footer="0.5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C114"/>
  <sheetViews>
    <sheetView topLeftCell="A97" zoomScale="70" zoomScaleNormal="70" workbookViewId="0">
      <selection activeCell="A103" sqref="A103:C114"/>
    </sheetView>
  </sheetViews>
  <sheetFormatPr defaultColWidth="12.6640625" defaultRowHeight="15.75" customHeight="1"/>
  <cols>
    <col min="1" max="1" width="29.77734375" style="59" customWidth="1"/>
    <col min="2" max="2" width="197.33203125" style="59" customWidth="1"/>
    <col min="3" max="3" width="85.44140625" style="59" customWidth="1"/>
    <col min="4" max="16384" width="12.6640625" style="59"/>
  </cols>
  <sheetData>
    <row r="1" spans="1:3" ht="54.75" customHeight="1" thickTop="1" thickBot="1">
      <c r="A1" s="124" t="s">
        <v>47</v>
      </c>
      <c r="B1" s="125"/>
      <c r="C1" s="126"/>
    </row>
    <row r="2" spans="1:3" ht="38.25" customHeight="1" thickTop="1" thickBot="1">
      <c r="A2" s="60" t="s">
        <v>48</v>
      </c>
      <c r="B2" s="60" t="s">
        <v>49</v>
      </c>
      <c r="C2" s="60" t="s">
        <v>50</v>
      </c>
    </row>
    <row r="3" spans="1:3" ht="23.25" customHeight="1" thickTop="1">
      <c r="A3" s="83" t="s">
        <v>51</v>
      </c>
      <c r="B3" s="61" t="s">
        <v>52</v>
      </c>
      <c r="C3" s="62" t="str">
        <f>HYPERLINK("https://dl.acm.org/doi/10.5555/1593949","Pressman — Software Engineering: A Practitioner’s Approach")</f>
        <v>Pressman — Software Engineering: A Practitioner’s Approach</v>
      </c>
    </row>
    <row r="4" spans="1:3" ht="23.25" customHeight="1">
      <c r="A4" s="84" t="s">
        <v>53</v>
      </c>
      <c r="B4" s="63" t="s">
        <v>54</v>
      </c>
      <c r="C4" s="64" t="str">
        <f>HYPERLINK("https://www.pmi.org/about/what-is-a-project","PMI — Project Life Cycle (обзор)")</f>
        <v>PMI — Project Life Cycle (обзор)</v>
      </c>
    </row>
    <row r="5" spans="1:3" ht="23.25" customHeight="1">
      <c r="A5" s="84" t="s">
        <v>55</v>
      </c>
      <c r="B5" s="63" t="s">
        <v>56</v>
      </c>
      <c r="C5" s="64" t="str">
        <f>HYPERLINK("https://www.belbin.com/about/belbin-team-roles","Belbin — Team Roles (официально)")</f>
        <v>Belbin — Team Roles (официально)</v>
      </c>
    </row>
    <row r="6" spans="1:3" ht="23.25" customHeight="1">
      <c r="A6" s="84" t="s">
        <v>57</v>
      </c>
      <c r="B6" s="64" t="s">
        <v>193</v>
      </c>
      <c r="C6" s="64" t="str">
        <f>HYPERLINK("https://www.pmi.org/learning/library/best-practices-managing-people-quality-management-7012","PMI — Responsibility Assignment Matrix (RACI)")</f>
        <v>PMI — Responsibility Assignment Matrix (RACI)</v>
      </c>
    </row>
    <row r="7" spans="1:3" ht="23.25" customHeight="1">
      <c r="A7" s="84" t="s">
        <v>58</v>
      </c>
      <c r="B7" s="65" t="s">
        <v>59</v>
      </c>
      <c r="C7" s="64" t="str">
        <f>HYPERLINK("https://www.gartner.com/en/information-technology/glossary/kpi-key-performance-indicator","Gartner Glossary — KPI")</f>
        <v>Gartner Glossary — KPI</v>
      </c>
    </row>
    <row r="8" spans="1:3" ht="23.25" customHeight="1">
      <c r="A8" s="84" t="s">
        <v>33</v>
      </c>
      <c r="B8" s="63" t="s">
        <v>60</v>
      </c>
      <c r="C8" s="64" t="str">
        <f>HYPERLINK("https://www.pmi.org/-/media/pmi/documents/registered/pdf/pmbok-standards/pmi-lexicon-pm-terms.pdf","PMI Lexicon v4.0")</f>
        <v>PMI Lexicon v4.0</v>
      </c>
    </row>
    <row r="9" spans="1:3" ht="23.25" customHeight="1">
      <c r="A9" s="84" t="s">
        <v>61</v>
      </c>
      <c r="B9" s="63" t="s">
        <v>62</v>
      </c>
      <c r="C9" s="64" t="str">
        <f>HYPERLINK("https://ieeecs-media.computer.org/media/education/swebok/swebok-v3.pdf","SWEBOK v3.0 (IEEE)")</f>
        <v>SWEBOK v3.0 (IEEE)</v>
      </c>
    </row>
    <row r="10" spans="1:3" ht="23.25" customHeight="1">
      <c r="A10" s="84" t="s">
        <v>63</v>
      </c>
      <c r="B10" s="63" t="s">
        <v>64</v>
      </c>
      <c r="C10" s="64" t="str">
        <f>HYPERLINK("https://www.pmi.org/learning/library/know-status-project-monitoring-controlling-5982","PMI — Monitoring &amp; Controlling")</f>
        <v>PMI — Monitoring &amp; Controlling</v>
      </c>
    </row>
    <row r="11" spans="1:3" ht="23.25" customHeight="1">
      <c r="A11" s="84" t="s">
        <v>65</v>
      </c>
      <c r="B11" s="63" t="s">
        <v>66</v>
      </c>
      <c r="C11" s="64" t="str">
        <f>HYPERLINK("https://dictionary.apa.org/group-dynamics","APA Dictionary of Psychology")</f>
        <v>APA Dictionary of Psychology</v>
      </c>
    </row>
    <row r="12" spans="1:3" ht="23.25" customHeight="1">
      <c r="A12" s="84" t="s">
        <v>67</v>
      </c>
      <c r="B12" s="63" t="s">
        <v>68</v>
      </c>
      <c r="C12" s="64" t="str">
        <f>HYPERLINK("https://www.pmi.org/-/media/pmi/documents/registered/pdf/pmbok-standards/pmi-lexicon-pm-terms.pdf","PMI Lexicon v4.0")</f>
        <v>PMI Lexicon v4.0</v>
      </c>
    </row>
    <row r="13" spans="1:3" ht="23.25" customHeight="1">
      <c r="A13" s="84" t="s">
        <v>69</v>
      </c>
      <c r="B13" s="63" t="s">
        <v>70</v>
      </c>
      <c r="C13" s="64" t="str">
        <f t="shared" ref="C13:C14" si="0">HYPERLINK("https://ieeecs-media.computer.org/media/education/swebok/swebok-v3.pdf","SWEBOK v3.0 (IEEE)")</f>
        <v>SWEBOK v3.0 (IEEE)</v>
      </c>
    </row>
    <row r="14" spans="1:3" ht="23.25" customHeight="1">
      <c r="A14" s="84" t="s">
        <v>71</v>
      </c>
      <c r="B14" s="63" t="s">
        <v>72</v>
      </c>
      <c r="C14" s="64" t="str">
        <f t="shared" si="0"/>
        <v>SWEBOK v3.0 (IEEE)</v>
      </c>
    </row>
    <row r="15" spans="1:3" ht="23.25" customHeight="1">
      <c r="A15" s="127" t="s">
        <v>194</v>
      </c>
      <c r="B15" s="63" t="s">
        <v>195</v>
      </c>
      <c r="C15" s="64" t="s">
        <v>196</v>
      </c>
    </row>
    <row r="16" spans="1:3" ht="23.25" customHeight="1">
      <c r="A16" s="128"/>
      <c r="B16" s="63" t="s">
        <v>197</v>
      </c>
      <c r="C16" s="66" t="s">
        <v>198</v>
      </c>
    </row>
    <row r="17" spans="1:3" ht="23.25" customHeight="1">
      <c r="A17" s="127" t="s">
        <v>199</v>
      </c>
      <c r="B17" s="63" t="s">
        <v>200</v>
      </c>
      <c r="C17" s="67" t="s">
        <v>201</v>
      </c>
    </row>
    <row r="18" spans="1:3" ht="23.25" customHeight="1">
      <c r="A18" s="128"/>
      <c r="B18" s="63" t="s">
        <v>202</v>
      </c>
      <c r="C18" s="68" t="s">
        <v>203</v>
      </c>
    </row>
    <row r="19" spans="1:3" ht="23.25" customHeight="1">
      <c r="A19" s="127" t="s">
        <v>204</v>
      </c>
      <c r="B19" s="63" t="s">
        <v>205</v>
      </c>
      <c r="C19" s="64" t="s">
        <v>206</v>
      </c>
    </row>
    <row r="20" spans="1:3" ht="23.25" customHeight="1">
      <c r="A20" s="128"/>
      <c r="B20" s="63" t="s">
        <v>207</v>
      </c>
      <c r="C20" s="69" t="s">
        <v>208</v>
      </c>
    </row>
    <row r="21" spans="1:3" ht="23.25" customHeight="1">
      <c r="A21" s="127" t="s">
        <v>53</v>
      </c>
      <c r="B21" s="63" t="s">
        <v>209</v>
      </c>
      <c r="C21" s="64" t="s">
        <v>210</v>
      </c>
    </row>
    <row r="22" spans="1:3" ht="23.25" customHeight="1">
      <c r="A22" s="128"/>
      <c r="B22" s="63" t="s">
        <v>211</v>
      </c>
      <c r="C22" s="64" t="s">
        <v>193</v>
      </c>
    </row>
    <row r="23" spans="1:3" ht="23.25" customHeight="1">
      <c r="A23" s="122" t="s">
        <v>212</v>
      </c>
      <c r="B23" s="63" t="s">
        <v>213</v>
      </c>
      <c r="C23" s="68" t="s">
        <v>214</v>
      </c>
    </row>
    <row r="24" spans="1:3" ht="23.25" customHeight="1">
      <c r="A24" s="123"/>
      <c r="B24" s="63" t="s">
        <v>215</v>
      </c>
      <c r="C24" s="64" t="s">
        <v>216</v>
      </c>
    </row>
    <row r="25" spans="1:3" ht="23.25" customHeight="1">
      <c r="A25" s="85" t="s">
        <v>217</v>
      </c>
      <c r="B25" s="63" t="s">
        <v>218</v>
      </c>
      <c r="C25" s="64" t="s">
        <v>219</v>
      </c>
    </row>
    <row r="26" spans="1:3" ht="23.25" customHeight="1">
      <c r="A26" s="85" t="s">
        <v>220</v>
      </c>
      <c r="B26" s="63" t="s">
        <v>221</v>
      </c>
      <c r="C26" s="64" t="s">
        <v>222</v>
      </c>
    </row>
    <row r="27" spans="1:3" ht="23.25" customHeight="1">
      <c r="A27" s="85" t="s">
        <v>223</v>
      </c>
      <c r="B27" s="63" t="s">
        <v>224</v>
      </c>
      <c r="C27" s="64" t="s">
        <v>225</v>
      </c>
    </row>
    <row r="28" spans="1:3" ht="23.25" customHeight="1">
      <c r="A28" s="85" t="s">
        <v>226</v>
      </c>
      <c r="B28" s="63" t="s">
        <v>227</v>
      </c>
      <c r="C28" s="64" t="s">
        <v>225</v>
      </c>
    </row>
    <row r="29" spans="1:3" ht="23.25" customHeight="1">
      <c r="A29" s="85" t="s">
        <v>228</v>
      </c>
      <c r="B29" s="63" t="s">
        <v>229</v>
      </c>
      <c r="C29" s="64" t="s">
        <v>230</v>
      </c>
    </row>
    <row r="30" spans="1:3" ht="23.25" customHeight="1">
      <c r="A30" s="85" t="s">
        <v>231</v>
      </c>
      <c r="B30" s="63" t="s">
        <v>232</v>
      </c>
      <c r="C30" s="64" t="s">
        <v>230</v>
      </c>
    </row>
    <row r="31" spans="1:3" ht="23.25" customHeight="1">
      <c r="A31" s="85" t="s">
        <v>233</v>
      </c>
      <c r="B31" s="63" t="s">
        <v>234</v>
      </c>
      <c r="C31" s="64" t="s">
        <v>230</v>
      </c>
    </row>
    <row r="32" spans="1:3" ht="23.25" customHeight="1">
      <c r="A32" s="122" t="s">
        <v>235</v>
      </c>
      <c r="B32" s="63" t="s">
        <v>236</v>
      </c>
      <c r="C32" s="64" t="s">
        <v>237</v>
      </c>
    </row>
    <row r="33" spans="1:3" ht="23.25" customHeight="1">
      <c r="A33" s="123"/>
      <c r="B33" s="63" t="s">
        <v>238</v>
      </c>
      <c r="C33" s="64" t="s">
        <v>239</v>
      </c>
    </row>
    <row r="34" spans="1:3" ht="23.25" customHeight="1">
      <c r="A34" s="122" t="s">
        <v>240</v>
      </c>
      <c r="B34" s="63" t="s">
        <v>241</v>
      </c>
      <c r="C34" s="64" t="s">
        <v>242</v>
      </c>
    </row>
    <row r="35" spans="1:3" ht="23.25" customHeight="1">
      <c r="A35" s="123"/>
      <c r="B35" s="63" t="s">
        <v>243</v>
      </c>
      <c r="C35" s="64" t="s">
        <v>244</v>
      </c>
    </row>
    <row r="36" spans="1:3" ht="23.25" customHeight="1">
      <c r="A36" s="129" t="s">
        <v>245</v>
      </c>
      <c r="B36" s="63" t="s">
        <v>246</v>
      </c>
      <c r="C36" s="64" t="s">
        <v>245</v>
      </c>
    </row>
    <row r="37" spans="1:3" ht="23.25" customHeight="1">
      <c r="A37" s="130"/>
      <c r="B37" s="63" t="s">
        <v>247</v>
      </c>
      <c r="C37" s="64" t="s">
        <v>248</v>
      </c>
    </row>
    <row r="38" spans="1:3" ht="23.25" customHeight="1">
      <c r="A38" s="129" t="s">
        <v>249</v>
      </c>
      <c r="B38" s="63" t="s">
        <v>250</v>
      </c>
      <c r="C38" s="64" t="s">
        <v>251</v>
      </c>
    </row>
    <row r="39" spans="1:3" ht="23.25" customHeight="1">
      <c r="A39" s="130"/>
      <c r="B39" s="63" t="s">
        <v>252</v>
      </c>
      <c r="C39" s="64" t="s">
        <v>253</v>
      </c>
    </row>
    <row r="40" spans="1:3" ht="23.25" customHeight="1">
      <c r="A40" s="129" t="s">
        <v>254</v>
      </c>
      <c r="B40" s="63" t="s">
        <v>255</v>
      </c>
      <c r="C40" s="64" t="s">
        <v>256</v>
      </c>
    </row>
    <row r="41" spans="1:3" ht="23.25" customHeight="1">
      <c r="A41" s="130"/>
      <c r="B41" s="63" t="s">
        <v>257</v>
      </c>
      <c r="C41" s="64" t="s">
        <v>258</v>
      </c>
    </row>
    <row r="42" spans="1:3" ht="23.25" customHeight="1">
      <c r="A42" s="129" t="s">
        <v>259</v>
      </c>
      <c r="B42" s="63" t="s">
        <v>260</v>
      </c>
      <c r="C42" s="64" t="s">
        <v>261</v>
      </c>
    </row>
    <row r="43" spans="1:3" ht="23.25" customHeight="1">
      <c r="A43" s="130"/>
      <c r="B43" s="63" t="s">
        <v>262</v>
      </c>
      <c r="C43" s="64" t="s">
        <v>263</v>
      </c>
    </row>
    <row r="44" spans="1:3" ht="23.25" customHeight="1">
      <c r="A44" s="122" t="s">
        <v>264</v>
      </c>
      <c r="B44" s="63" t="s">
        <v>265</v>
      </c>
      <c r="C44" s="64" t="s">
        <v>266</v>
      </c>
    </row>
    <row r="45" spans="1:3" ht="23.25" customHeight="1">
      <c r="A45" s="123"/>
      <c r="B45" s="63" t="s">
        <v>267</v>
      </c>
      <c r="C45" s="64" t="s">
        <v>268</v>
      </c>
    </row>
    <row r="46" spans="1:3" ht="23.25" customHeight="1">
      <c r="A46" s="122" t="s">
        <v>269</v>
      </c>
      <c r="B46" s="63" t="s">
        <v>270</v>
      </c>
      <c r="C46" s="64" t="s">
        <v>271</v>
      </c>
    </row>
    <row r="47" spans="1:3" ht="23.25" customHeight="1">
      <c r="A47" s="123"/>
      <c r="B47" s="63" t="s">
        <v>272</v>
      </c>
      <c r="C47" s="64" t="s">
        <v>273</v>
      </c>
    </row>
    <row r="48" spans="1:3" ht="23.25" customHeight="1">
      <c r="A48" s="122" t="s">
        <v>274</v>
      </c>
      <c r="B48" s="63" t="s">
        <v>275</v>
      </c>
      <c r="C48" s="64" t="s">
        <v>276</v>
      </c>
    </row>
    <row r="49" spans="1:3" ht="23.25" customHeight="1">
      <c r="A49" s="123"/>
      <c r="B49" s="63" t="s">
        <v>277</v>
      </c>
      <c r="C49" s="64" t="s">
        <v>278</v>
      </c>
    </row>
    <row r="50" spans="1:3" ht="23.25" customHeight="1">
      <c r="A50" s="85" t="s">
        <v>279</v>
      </c>
      <c r="B50" s="63" t="s">
        <v>280</v>
      </c>
      <c r="C50" s="64" t="s">
        <v>281</v>
      </c>
    </row>
    <row r="51" spans="1:3" ht="23.25" customHeight="1">
      <c r="A51" s="122" t="s">
        <v>282</v>
      </c>
      <c r="B51" s="63" t="s">
        <v>283</v>
      </c>
      <c r="C51" s="64" t="s">
        <v>284</v>
      </c>
    </row>
    <row r="52" spans="1:3" ht="23.25" customHeight="1">
      <c r="A52" s="123"/>
      <c r="B52" s="63" t="s">
        <v>285</v>
      </c>
      <c r="C52" s="64" t="s">
        <v>286</v>
      </c>
    </row>
    <row r="53" spans="1:3" ht="23.25" customHeight="1">
      <c r="A53" s="85" t="s">
        <v>287</v>
      </c>
      <c r="B53" s="63" t="s">
        <v>288</v>
      </c>
      <c r="C53" s="64" t="s">
        <v>289</v>
      </c>
    </row>
    <row r="54" spans="1:3" ht="23.25" customHeight="1">
      <c r="A54" s="129" t="s">
        <v>290</v>
      </c>
      <c r="B54" s="63" t="s">
        <v>291</v>
      </c>
      <c r="C54" s="64" t="s">
        <v>292</v>
      </c>
    </row>
    <row r="55" spans="1:3" ht="23.25" customHeight="1">
      <c r="A55" s="130"/>
      <c r="B55" s="63" t="s">
        <v>293</v>
      </c>
      <c r="C55" s="64" t="s">
        <v>294</v>
      </c>
    </row>
    <row r="56" spans="1:3" ht="23.25" customHeight="1">
      <c r="A56" s="122" t="s">
        <v>295</v>
      </c>
      <c r="B56" s="63" t="s">
        <v>296</v>
      </c>
      <c r="C56" s="64" t="s">
        <v>297</v>
      </c>
    </row>
    <row r="57" spans="1:3" ht="23.25" customHeight="1">
      <c r="A57" s="123"/>
      <c r="B57" s="63" t="s">
        <v>298</v>
      </c>
      <c r="C57" s="64" t="s">
        <v>299</v>
      </c>
    </row>
    <row r="58" spans="1:3" ht="23.25" customHeight="1">
      <c r="A58" s="86" t="s">
        <v>300</v>
      </c>
      <c r="B58" s="70" t="s">
        <v>301</v>
      </c>
      <c r="C58" s="71" t="s">
        <v>302</v>
      </c>
    </row>
    <row r="59" spans="1:3" ht="26.4">
      <c r="A59" s="87" t="s">
        <v>303</v>
      </c>
      <c r="B59" s="72" t="s">
        <v>304</v>
      </c>
      <c r="C59" s="73" t="s">
        <v>305</v>
      </c>
    </row>
    <row r="60" spans="1:3" ht="26.4">
      <c r="A60" s="87" t="s">
        <v>306</v>
      </c>
      <c r="B60" s="72" t="s">
        <v>307</v>
      </c>
      <c r="C60" s="73" t="s">
        <v>308</v>
      </c>
    </row>
    <row r="61" spans="1:3" ht="13.2">
      <c r="A61" s="87" t="s">
        <v>309</v>
      </c>
      <c r="B61" s="72" t="s">
        <v>310</v>
      </c>
      <c r="C61" s="73" t="s">
        <v>311</v>
      </c>
    </row>
    <row r="62" spans="1:3" ht="13.2">
      <c r="A62" s="87" t="s">
        <v>312</v>
      </c>
      <c r="B62" s="72" t="s">
        <v>313</v>
      </c>
      <c r="C62" s="73" t="s">
        <v>314</v>
      </c>
    </row>
    <row r="63" spans="1:3" ht="26.4">
      <c r="A63" s="87" t="s">
        <v>315</v>
      </c>
      <c r="B63" s="72" t="s">
        <v>316</v>
      </c>
      <c r="C63" s="73" t="s">
        <v>317</v>
      </c>
    </row>
    <row r="64" spans="1:3" ht="13.2">
      <c r="A64" s="87" t="s">
        <v>318</v>
      </c>
      <c r="B64" s="72" t="s">
        <v>319</v>
      </c>
      <c r="C64" s="73" t="s">
        <v>320</v>
      </c>
    </row>
    <row r="65" spans="1:3" ht="13.2">
      <c r="A65" s="87" t="s">
        <v>321</v>
      </c>
      <c r="B65" s="72" t="s">
        <v>322</v>
      </c>
      <c r="C65" s="73" t="s">
        <v>323</v>
      </c>
    </row>
    <row r="66" spans="1:3" ht="13.2">
      <c r="A66" s="87" t="s">
        <v>324</v>
      </c>
      <c r="B66" s="72" t="s">
        <v>325</v>
      </c>
      <c r="C66" s="73" t="s">
        <v>326</v>
      </c>
    </row>
    <row r="67" spans="1:3" ht="13.2">
      <c r="A67" s="87" t="s">
        <v>327</v>
      </c>
      <c r="B67" s="72" t="s">
        <v>328</v>
      </c>
      <c r="C67" s="73" t="s">
        <v>329</v>
      </c>
    </row>
    <row r="68" spans="1:3" ht="13.2">
      <c r="A68" s="87" t="s">
        <v>330</v>
      </c>
      <c r="B68" s="72" t="s">
        <v>331</v>
      </c>
      <c r="C68" s="73" t="s">
        <v>332</v>
      </c>
    </row>
    <row r="69" spans="1:3" ht="26.4">
      <c r="A69" s="87" t="s">
        <v>333</v>
      </c>
      <c r="B69" s="72" t="s">
        <v>334</v>
      </c>
      <c r="C69" s="73" t="s">
        <v>335</v>
      </c>
    </row>
    <row r="70" spans="1:3" ht="13.2">
      <c r="A70" s="87" t="s">
        <v>336</v>
      </c>
      <c r="B70" s="72" t="s">
        <v>337</v>
      </c>
      <c r="C70" s="74" t="s">
        <v>338</v>
      </c>
    </row>
    <row r="71" spans="1:3" ht="26.4">
      <c r="A71" s="87" t="s">
        <v>339</v>
      </c>
      <c r="B71" s="72" t="s">
        <v>340</v>
      </c>
      <c r="C71" s="73" t="s">
        <v>341</v>
      </c>
    </row>
    <row r="72" spans="1:3" ht="13.2">
      <c r="A72" s="87" t="s">
        <v>342</v>
      </c>
      <c r="B72" s="72" t="s">
        <v>343</v>
      </c>
      <c r="C72" s="73" t="s">
        <v>344</v>
      </c>
    </row>
    <row r="73" spans="1:3" ht="13.2">
      <c r="A73" s="87" t="s">
        <v>228</v>
      </c>
      <c r="B73" s="72" t="s">
        <v>345</v>
      </c>
      <c r="C73" s="73" t="s">
        <v>346</v>
      </c>
    </row>
    <row r="74" spans="1:3" ht="13.2">
      <c r="A74" s="87" t="s">
        <v>347</v>
      </c>
      <c r="B74" s="72" t="s">
        <v>348</v>
      </c>
      <c r="C74" s="73" t="s">
        <v>349</v>
      </c>
    </row>
    <row r="75" spans="1:3" ht="13.2">
      <c r="A75" s="87" t="s">
        <v>235</v>
      </c>
      <c r="B75" s="72" t="s">
        <v>350</v>
      </c>
      <c r="C75" s="73" t="s">
        <v>351</v>
      </c>
    </row>
    <row r="76" spans="1:3" ht="13.2">
      <c r="A76" s="87" t="s">
        <v>352</v>
      </c>
      <c r="B76" s="72" t="s">
        <v>353</v>
      </c>
      <c r="C76" s="73" t="s">
        <v>354</v>
      </c>
    </row>
    <row r="77" spans="1:3" ht="13.2">
      <c r="A77" s="87" t="s">
        <v>355</v>
      </c>
      <c r="B77" s="72" t="s">
        <v>356</v>
      </c>
      <c r="C77" s="73" t="s">
        <v>357</v>
      </c>
    </row>
    <row r="78" spans="1:3" ht="13.2">
      <c r="A78" s="87" t="s">
        <v>358</v>
      </c>
      <c r="B78" s="72" t="s">
        <v>359</v>
      </c>
      <c r="C78" s="73" t="s">
        <v>360</v>
      </c>
    </row>
    <row r="79" spans="1:3" ht="13.2">
      <c r="A79" s="87" t="s">
        <v>231</v>
      </c>
      <c r="B79" s="72" t="s">
        <v>361</v>
      </c>
      <c r="C79" s="73" t="s">
        <v>362</v>
      </c>
    </row>
    <row r="80" spans="1:3" ht="13.2">
      <c r="A80" s="87" t="s">
        <v>233</v>
      </c>
      <c r="B80" s="72" t="s">
        <v>363</v>
      </c>
      <c r="C80" s="73" t="s">
        <v>364</v>
      </c>
    </row>
    <row r="81" spans="1:3" ht="13.2">
      <c r="A81" s="87" t="s">
        <v>365</v>
      </c>
      <c r="B81" s="72" t="s">
        <v>366</v>
      </c>
      <c r="C81" s="73" t="s">
        <v>367</v>
      </c>
    </row>
    <row r="82" spans="1:3" ht="13.2">
      <c r="A82" s="87" t="s">
        <v>368</v>
      </c>
      <c r="B82" s="72" t="s">
        <v>369</v>
      </c>
      <c r="C82" s="73" t="s">
        <v>370</v>
      </c>
    </row>
    <row r="83" spans="1:3" ht="13.2">
      <c r="A83" s="87" t="s">
        <v>371</v>
      </c>
      <c r="B83" s="72" t="s">
        <v>372</v>
      </c>
      <c r="C83" s="73" t="s">
        <v>373</v>
      </c>
    </row>
    <row r="84" spans="1:3" ht="13.2">
      <c r="A84" s="87" t="s">
        <v>374</v>
      </c>
      <c r="B84" s="72" t="s">
        <v>375</v>
      </c>
      <c r="C84" s="73" t="s">
        <v>376</v>
      </c>
    </row>
    <row r="85" spans="1:3" ht="13.2">
      <c r="A85" s="87" t="s">
        <v>377</v>
      </c>
      <c r="B85" s="72" t="s">
        <v>378</v>
      </c>
      <c r="C85" s="73" t="s">
        <v>379</v>
      </c>
    </row>
    <row r="86" spans="1:3" ht="13.2">
      <c r="A86" s="87" t="s">
        <v>380</v>
      </c>
      <c r="B86" s="72" t="s">
        <v>381</v>
      </c>
      <c r="C86" s="73" t="s">
        <v>382</v>
      </c>
    </row>
    <row r="87" spans="1:3" ht="13.2">
      <c r="A87" s="87" t="s">
        <v>383</v>
      </c>
      <c r="B87" s="72" t="s">
        <v>384</v>
      </c>
      <c r="C87" s="73" t="s">
        <v>385</v>
      </c>
    </row>
    <row r="88" spans="1:3" ht="26.4">
      <c r="A88" s="87" t="s">
        <v>386</v>
      </c>
      <c r="B88" s="72" t="s">
        <v>387</v>
      </c>
      <c r="C88" s="74" t="s">
        <v>388</v>
      </c>
    </row>
    <row r="89" spans="1:3" ht="26.4">
      <c r="A89" s="87" t="s">
        <v>389</v>
      </c>
      <c r="B89" s="72" t="s">
        <v>390</v>
      </c>
      <c r="C89" s="73" t="s">
        <v>391</v>
      </c>
    </row>
    <row r="90" spans="1:3" ht="13.2">
      <c r="A90" s="87" t="s">
        <v>392</v>
      </c>
      <c r="B90" s="72" t="s">
        <v>393</v>
      </c>
      <c r="C90" s="73" t="s">
        <v>394</v>
      </c>
    </row>
    <row r="91" spans="1:3" ht="26.4">
      <c r="A91" s="87" t="s">
        <v>395</v>
      </c>
      <c r="B91" s="72" t="s">
        <v>396</v>
      </c>
      <c r="C91" s="73" t="s">
        <v>397</v>
      </c>
    </row>
    <row r="92" spans="1:3" ht="13.2">
      <c r="A92" s="87" t="s">
        <v>269</v>
      </c>
      <c r="B92" s="72" t="s">
        <v>398</v>
      </c>
      <c r="C92" s="73" t="s">
        <v>399</v>
      </c>
    </row>
    <row r="93" spans="1:3" ht="13.2">
      <c r="A93" s="87" t="s">
        <v>400</v>
      </c>
      <c r="B93" s="72" t="s">
        <v>401</v>
      </c>
      <c r="C93" s="73" t="s">
        <v>402</v>
      </c>
    </row>
    <row r="94" spans="1:3" ht="26.4">
      <c r="A94" s="87" t="s">
        <v>403</v>
      </c>
      <c r="B94" s="72" t="s">
        <v>404</v>
      </c>
      <c r="C94" s="75" t="s">
        <v>405</v>
      </c>
    </row>
    <row r="95" spans="1:3" ht="13.2">
      <c r="A95" s="87" t="s">
        <v>406</v>
      </c>
      <c r="B95" s="72" t="s">
        <v>407</v>
      </c>
      <c r="C95" s="73" t="s">
        <v>408</v>
      </c>
    </row>
    <row r="96" spans="1:3" ht="13.2">
      <c r="A96" s="87" t="s">
        <v>409</v>
      </c>
      <c r="B96" s="72" t="s">
        <v>410</v>
      </c>
      <c r="C96" s="73" t="s">
        <v>411</v>
      </c>
    </row>
    <row r="97" spans="1:3" ht="26.4">
      <c r="A97" s="87" t="s">
        <v>412</v>
      </c>
      <c r="B97" s="72" t="s">
        <v>413</v>
      </c>
      <c r="C97" s="73" t="s">
        <v>414</v>
      </c>
    </row>
    <row r="98" spans="1:3" ht="13.2">
      <c r="A98" s="87" t="s">
        <v>415</v>
      </c>
      <c r="B98" s="72" t="s">
        <v>416</v>
      </c>
      <c r="C98" s="73" t="s">
        <v>417</v>
      </c>
    </row>
    <row r="99" spans="1:3" ht="13.2">
      <c r="A99" s="87" t="s">
        <v>418</v>
      </c>
      <c r="B99" s="72" t="s">
        <v>419</v>
      </c>
      <c r="C99" s="73" t="s">
        <v>420</v>
      </c>
    </row>
    <row r="100" spans="1:3" ht="39.6">
      <c r="A100" s="87" t="s">
        <v>421</v>
      </c>
      <c r="B100" s="72" t="s">
        <v>422</v>
      </c>
      <c r="C100" s="73" t="s">
        <v>423</v>
      </c>
    </row>
    <row r="101" spans="1:3" ht="13.2">
      <c r="A101" s="87" t="s">
        <v>424</v>
      </c>
      <c r="B101" s="72" t="s">
        <v>425</v>
      </c>
      <c r="C101" s="73" t="s">
        <v>426</v>
      </c>
    </row>
    <row r="102" spans="1:3" ht="26.4">
      <c r="A102" s="87" t="s">
        <v>427</v>
      </c>
      <c r="B102" s="72" t="s">
        <v>428</v>
      </c>
      <c r="C102" s="76" t="s">
        <v>429</v>
      </c>
    </row>
    <row r="103" spans="1:3" ht="26.4">
      <c r="A103" s="90" t="s">
        <v>65</v>
      </c>
      <c r="B103" s="88" t="s">
        <v>433</v>
      </c>
      <c r="C103" s="89" t="s">
        <v>434</v>
      </c>
    </row>
    <row r="104" spans="1:3" ht="26.4">
      <c r="A104" s="90" t="s">
        <v>435</v>
      </c>
      <c r="B104" s="88" t="s">
        <v>436</v>
      </c>
      <c r="C104" s="89" t="s">
        <v>437</v>
      </c>
    </row>
    <row r="105" spans="1:3" ht="26.4">
      <c r="A105" s="90" t="s">
        <v>438</v>
      </c>
      <c r="B105" s="88" t="s">
        <v>439</v>
      </c>
      <c r="C105" s="89" t="s">
        <v>440</v>
      </c>
    </row>
    <row r="106" spans="1:3" ht="13.2">
      <c r="A106" s="90" t="s">
        <v>441</v>
      </c>
      <c r="B106" s="88" t="s">
        <v>442</v>
      </c>
      <c r="C106" s="89" t="s">
        <v>443</v>
      </c>
    </row>
    <row r="107" spans="1:3" ht="26.4">
      <c r="A107" s="90" t="s">
        <v>444</v>
      </c>
      <c r="B107" s="88" t="s">
        <v>445</v>
      </c>
      <c r="C107" s="89" t="s">
        <v>446</v>
      </c>
    </row>
    <row r="108" spans="1:3" ht="26.4">
      <c r="A108" s="90" t="s">
        <v>447</v>
      </c>
      <c r="B108" s="88" t="s">
        <v>448</v>
      </c>
      <c r="C108" s="89" t="s">
        <v>449</v>
      </c>
    </row>
    <row r="109" spans="1:3" ht="26.4">
      <c r="A109" s="90" t="s">
        <v>450</v>
      </c>
      <c r="B109" s="88" t="s">
        <v>451</v>
      </c>
      <c r="C109" s="89" t="s">
        <v>452</v>
      </c>
    </row>
    <row r="110" spans="1:3" ht="26.4">
      <c r="A110" s="90" t="s">
        <v>453</v>
      </c>
      <c r="B110" s="88" t="s">
        <v>454</v>
      </c>
      <c r="C110" s="89" t="s">
        <v>455</v>
      </c>
    </row>
    <row r="111" spans="1:3" ht="26.4">
      <c r="A111" s="90" t="s">
        <v>53</v>
      </c>
      <c r="B111" s="88" t="s">
        <v>456</v>
      </c>
      <c r="C111" s="89" t="s">
        <v>457</v>
      </c>
    </row>
    <row r="112" spans="1:3" ht="26.4">
      <c r="A112" s="90" t="s">
        <v>458</v>
      </c>
      <c r="B112" s="88" t="s">
        <v>459</v>
      </c>
      <c r="C112" s="89" t="s">
        <v>460</v>
      </c>
    </row>
    <row r="113" spans="1:3" ht="26.4">
      <c r="A113" s="90" t="s">
        <v>461</v>
      </c>
      <c r="B113" s="88" t="s">
        <v>462</v>
      </c>
      <c r="C113" s="89" t="s">
        <v>463</v>
      </c>
    </row>
    <row r="114" spans="1:3" ht="26.4">
      <c r="A114" s="90" t="s">
        <v>464</v>
      </c>
      <c r="B114" s="88" t="s">
        <v>465</v>
      </c>
      <c r="C114" s="89" t="s">
        <v>466</v>
      </c>
    </row>
  </sheetData>
  <mergeCells count="18">
    <mergeCell ref="A56:A57"/>
    <mergeCell ref="A32:A33"/>
    <mergeCell ref="A34:A35"/>
    <mergeCell ref="A36:A37"/>
    <mergeCell ref="A38:A39"/>
    <mergeCell ref="A40:A41"/>
    <mergeCell ref="A42:A43"/>
    <mergeCell ref="A44:A45"/>
    <mergeCell ref="A46:A47"/>
    <mergeCell ref="A48:A49"/>
    <mergeCell ref="A51:A52"/>
    <mergeCell ref="A54:A55"/>
    <mergeCell ref="A23:A24"/>
    <mergeCell ref="A1:C1"/>
    <mergeCell ref="A15:A16"/>
    <mergeCell ref="A17:A18"/>
    <mergeCell ref="A19:A20"/>
    <mergeCell ref="A21:A22"/>
  </mergeCells>
  <hyperlinks>
    <hyperlink ref="B6" r:id="rId1"/>
    <hyperlink ref="C15" r:id="rId2"/>
    <hyperlink ref="C16" r:id="rId3" location="_=_"/>
    <hyperlink ref="C17" r:id="rId4"/>
    <hyperlink ref="C18" r:id="rId5"/>
    <hyperlink ref="C19" r:id="rId6"/>
    <hyperlink ref="C20" r:id="rId7"/>
    <hyperlink ref="C21" r:id="rId8"/>
    <hyperlink ref="C22" r:id="rId9"/>
    <hyperlink ref="C23" r:id="rId10"/>
    <hyperlink ref="C24" r:id="rId11"/>
    <hyperlink ref="C25" r:id="rId12"/>
    <hyperlink ref="C26" r:id="rId13"/>
    <hyperlink ref="C27" r:id="rId14"/>
    <hyperlink ref="C28" r:id="rId15"/>
    <hyperlink ref="C29" r:id="rId16"/>
    <hyperlink ref="C30" r:id="rId17"/>
    <hyperlink ref="C31" r:id="rId18"/>
    <hyperlink ref="C32" r:id="rId19"/>
    <hyperlink ref="C33" r:id="rId20"/>
    <hyperlink ref="C34" r:id="rId21"/>
    <hyperlink ref="C35" r:id="rId22"/>
    <hyperlink ref="C36" r:id="rId23"/>
    <hyperlink ref="C37" r:id="rId24"/>
    <hyperlink ref="C38" r:id="rId25"/>
    <hyperlink ref="C39" r:id="rId26"/>
    <hyperlink ref="C40" r:id="rId27"/>
    <hyperlink ref="C41" r:id="rId28"/>
    <hyperlink ref="C42" r:id="rId29"/>
    <hyperlink ref="C43" r:id="rId30"/>
    <hyperlink ref="C44" r:id="rId31"/>
    <hyperlink ref="C45" r:id="rId32"/>
    <hyperlink ref="C46" r:id="rId33"/>
    <hyperlink ref="C47" r:id="rId34"/>
    <hyperlink ref="C48" r:id="rId35"/>
    <hyperlink ref="C49" r:id="rId36"/>
    <hyperlink ref="C50" r:id="rId37"/>
    <hyperlink ref="C51" r:id="rId38"/>
    <hyperlink ref="C52" r:id="rId39"/>
    <hyperlink ref="C53" r:id="rId40"/>
    <hyperlink ref="C54" r:id="rId41"/>
    <hyperlink ref="C55" r:id="rId42"/>
    <hyperlink ref="C56" r:id="rId43"/>
    <hyperlink ref="C57" r:id="rId44"/>
    <hyperlink ref="C58" r:id="rId45"/>
    <hyperlink ref="C70" r:id="rId46" display="https://cheatsheetseries.owasp.org/cheatsheets/Logging_Cheat_Sheet.html"/>
    <hyperlink ref="C88" r:id="rId47" display="https://cheatsheetseries.owasp.org/cheatsheets/Secrets_Management_Cheat_Sheet.html"/>
    <hyperlink ref="C102" r:id="rId48" display="https://protect.gost.ru/v.aspx?control=8&amp;regnum=252117"/>
  </hyperlinks>
  <pageMargins left="0.7" right="0.7" top="0.75" bottom="0.75" header="0.3" footer="0.3"/>
  <pageSetup paperSize="9" orientation="portrait" verticalDpi="0" r:id="rId49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0"/>
  <sheetViews>
    <sheetView workbookViewId="0"/>
  </sheetViews>
  <sheetFormatPr defaultColWidth="12.5546875" defaultRowHeight="15.75" customHeight="1"/>
  <cols>
    <col min="1" max="26" width="7.5546875" customWidth="1"/>
  </cols>
  <sheetData>
    <row r="1" spans="1:5" ht="12.75" customHeight="1">
      <c r="B1" s="23" t="s">
        <v>35</v>
      </c>
      <c r="C1" s="23" t="s">
        <v>36</v>
      </c>
      <c r="D1" s="23" t="s">
        <v>37</v>
      </c>
      <c r="E1" s="23" t="s">
        <v>38</v>
      </c>
    </row>
    <row r="2" spans="1:5" ht="12.75" customHeight="1">
      <c r="A2" s="23" t="s">
        <v>73</v>
      </c>
      <c r="B2" s="23">
        <v>25</v>
      </c>
      <c r="C2" s="23">
        <v>0</v>
      </c>
      <c r="D2" s="23">
        <v>0</v>
      </c>
      <c r="E2" s="23">
        <v>0</v>
      </c>
    </row>
    <row r="3" spans="1:5" ht="12.75" customHeight="1">
      <c r="A3" s="23" t="s">
        <v>74</v>
      </c>
      <c r="B3" s="23">
        <v>21</v>
      </c>
      <c r="C3" s="23">
        <v>0</v>
      </c>
      <c r="D3" s="23">
        <v>0</v>
      </c>
      <c r="E3" s="23">
        <v>0</v>
      </c>
    </row>
    <row r="4" spans="1:5" ht="12.75" customHeight="1">
      <c r="A4" s="23" t="s">
        <v>75</v>
      </c>
      <c r="B4" s="23">
        <v>20</v>
      </c>
      <c r="C4" s="23">
        <v>0</v>
      </c>
      <c r="D4" s="23">
        <v>0</v>
      </c>
      <c r="E4" s="23">
        <v>0</v>
      </c>
    </row>
    <row r="5" spans="1:5" ht="12.75" customHeight="1"/>
    <row r="6" spans="1:5" ht="12.75" customHeight="1">
      <c r="A6" s="23" t="s">
        <v>76</v>
      </c>
      <c r="B6" s="23" t="s">
        <v>35</v>
      </c>
      <c r="C6" s="23" t="s">
        <v>36</v>
      </c>
      <c r="D6" s="23" t="s">
        <v>37</v>
      </c>
      <c r="E6" s="23" t="s">
        <v>38</v>
      </c>
    </row>
    <row r="7" spans="1:5" ht="12.75" customHeight="1">
      <c r="A7" s="23" t="s">
        <v>4</v>
      </c>
      <c r="B7" s="23">
        <v>92.85499999999999</v>
      </c>
    </row>
    <row r="8" spans="1:5" ht="12.75" customHeight="1">
      <c r="A8" s="23" t="s">
        <v>6</v>
      </c>
      <c r="B8" s="23">
        <v>91.666666666666671</v>
      </c>
    </row>
    <row r="9" spans="1:5" ht="12.75" customHeight="1">
      <c r="A9" s="23" t="s">
        <v>12</v>
      </c>
      <c r="B9" s="23">
        <v>100</v>
      </c>
    </row>
    <row r="10" spans="1:5" ht="12.75" customHeight="1">
      <c r="A10" s="23" t="s">
        <v>15</v>
      </c>
      <c r="B10" s="23">
        <v>75</v>
      </c>
    </row>
    <row r="11" spans="1:5" ht="12.75" customHeight="1">
      <c r="A11" s="23" t="s">
        <v>9</v>
      </c>
      <c r="B11" s="23">
        <v>83.333333333333329</v>
      </c>
    </row>
    <row r="12" spans="1:5" ht="12.75" customHeight="1"/>
    <row r="13" spans="1:5" ht="12.75" customHeight="1">
      <c r="A13" s="23" t="s">
        <v>77</v>
      </c>
    </row>
    <row r="14" spans="1:5" ht="12.75" customHeight="1">
      <c r="A14" s="23" t="s">
        <v>4</v>
      </c>
      <c r="B14" s="23">
        <v>92.85499999999999</v>
      </c>
      <c r="C14" s="23">
        <v>92.85499999999999</v>
      </c>
      <c r="D14" s="23">
        <v>7.1450000000000102</v>
      </c>
    </row>
    <row r="15" spans="1:5" ht="12.75" customHeight="1">
      <c r="A15" s="23" t="s">
        <v>6</v>
      </c>
      <c r="B15" s="23">
        <v>91.666666666666671</v>
      </c>
      <c r="C15" s="23">
        <v>91.666666666666671</v>
      </c>
      <c r="D15" s="23">
        <v>8.3333333333333286</v>
      </c>
    </row>
    <row r="16" spans="1:5" ht="12.75" customHeight="1">
      <c r="A16" s="23" t="s">
        <v>12</v>
      </c>
      <c r="B16" s="23">
        <v>100</v>
      </c>
      <c r="C16" s="23">
        <v>100</v>
      </c>
      <c r="D16" s="23">
        <v>0</v>
      </c>
    </row>
    <row r="17" spans="1:4" ht="12.75" customHeight="1">
      <c r="A17" s="23" t="s">
        <v>15</v>
      </c>
      <c r="B17" s="23">
        <v>75</v>
      </c>
      <c r="C17" s="23">
        <v>75</v>
      </c>
      <c r="D17" s="23">
        <v>25</v>
      </c>
    </row>
    <row r="18" spans="1:4" ht="12.75" customHeight="1">
      <c r="A18" s="23" t="s">
        <v>9</v>
      </c>
      <c r="B18" s="23">
        <v>83.333333333333329</v>
      </c>
      <c r="C18" s="23">
        <v>83.333333333333329</v>
      </c>
      <c r="D18" s="23">
        <v>16.666666666666671</v>
      </c>
    </row>
    <row r="19" spans="1:4" ht="12.75" customHeight="1"/>
    <row r="20" spans="1:4" ht="12.75" customHeight="1"/>
    <row r="21" spans="1:4" ht="12.75" customHeight="1"/>
    <row r="22" spans="1:4" ht="12.75" customHeight="1"/>
    <row r="23" spans="1:4" ht="12.75" customHeight="1"/>
    <row r="24" spans="1:4" ht="12.75" customHeight="1"/>
    <row r="25" spans="1:4" ht="12.75" customHeight="1"/>
    <row r="26" spans="1:4" ht="12.75" customHeight="1"/>
    <row r="27" spans="1:4" ht="12.75" customHeight="1"/>
    <row r="28" spans="1:4" ht="12.75" customHeight="1"/>
    <row r="29" spans="1:4" ht="12.75" customHeight="1"/>
    <row r="30" spans="1:4" ht="12.75" customHeight="1"/>
    <row r="31" spans="1:4" ht="12.75" customHeight="1"/>
    <row r="32" spans="1:4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orientation="landscape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D8C98E9-63DA-40EA-9EA1-6E63C684465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Общая информация</vt:lpstr>
      <vt:lpstr>План работы</vt:lpstr>
      <vt:lpstr>Проект</vt:lpstr>
      <vt:lpstr>БРПО</vt:lpstr>
      <vt:lpstr>Данные</vt:lpstr>
      <vt:lpstr>Панель управления (Dashboard)</vt:lpstr>
      <vt:lpstr>Глоссарий (2)</vt:lpstr>
      <vt:lpstr>_helper_dashboard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Marta</cp:lastModifiedBy>
  <dcterms:modified xsi:type="dcterms:W3CDTF">2025-10-02T07:08:07Z</dcterms:modified>
</cp:coreProperties>
</file>